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/>
  </bookViews>
  <sheets>
    <sheet name="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2"/>
  <c r="E3" l="1"/>
  <c r="I3" s="1"/>
  <c r="E4"/>
  <c r="I4" s="1"/>
  <c r="E5"/>
  <c r="I5" s="1"/>
  <c r="E6"/>
  <c r="I6" s="1"/>
  <c r="E7"/>
  <c r="I7" s="1"/>
  <c r="E8"/>
  <c r="I8" s="1"/>
  <c r="E9"/>
  <c r="I9" s="1"/>
  <c r="E10"/>
  <c r="I10" s="1"/>
  <c r="E11"/>
  <c r="I11" s="1"/>
  <c r="E12"/>
  <c r="I12" s="1"/>
  <c r="E13"/>
  <c r="I13" s="1"/>
  <c r="E14"/>
  <c r="I14" s="1"/>
  <c r="E15"/>
  <c r="I15" s="1"/>
  <c r="E16"/>
  <c r="I16" s="1"/>
  <c r="E17"/>
  <c r="I17" s="1"/>
  <c r="E18"/>
  <c r="I18" s="1"/>
  <c r="E19"/>
  <c r="I19" s="1"/>
  <c r="E20"/>
  <c r="I20" s="1"/>
  <c r="E21"/>
  <c r="I21" s="1"/>
  <c r="E22"/>
  <c r="I22" s="1"/>
  <c r="E23"/>
  <c r="I23" s="1"/>
  <c r="E24"/>
  <c r="I24" s="1"/>
  <c r="E25"/>
  <c r="I25" s="1"/>
  <c r="E26"/>
  <c r="I26" s="1"/>
  <c r="E27"/>
  <c r="I27" s="1"/>
  <c r="E28"/>
  <c r="I28" s="1"/>
  <c r="E29"/>
  <c r="I29" s="1"/>
  <c r="E30"/>
  <c r="I30" s="1"/>
  <c r="E31"/>
  <c r="I31" s="1"/>
  <c r="E32"/>
  <c r="I32" s="1"/>
  <c r="E33"/>
  <c r="I33" s="1"/>
  <c r="E34"/>
  <c r="I34" s="1"/>
  <c r="E35"/>
  <c r="I35" s="1"/>
  <c r="E36"/>
  <c r="I36" s="1"/>
  <c r="E37"/>
  <c r="I37" s="1"/>
  <c r="E38"/>
  <c r="I38" s="1"/>
  <c r="E39"/>
  <c r="I39" s="1"/>
  <c r="E40"/>
  <c r="I40" s="1"/>
  <c r="E41"/>
  <c r="I41" s="1"/>
  <c r="E42"/>
  <c r="I42" s="1"/>
  <c r="E2"/>
  <c r="I2" s="1"/>
</calcChain>
</file>

<file path=xl/sharedStrings.xml><?xml version="1.0" encoding="utf-8"?>
<sst xmlns="http://schemas.openxmlformats.org/spreadsheetml/2006/main" count="116" uniqueCount="110">
  <si>
    <t>Doz.</t>
  </si>
  <si>
    <t>Size In INCH</t>
  </si>
  <si>
    <t>Size In MM</t>
  </si>
  <si>
    <t>Doz. Weight</t>
  </si>
  <si>
    <t>3 x 7/8 x 1/8</t>
  </si>
  <si>
    <t>75*22*3</t>
  </si>
  <si>
    <t>4 x 7/8 x 1/8</t>
  </si>
  <si>
    <t>100*22*3</t>
  </si>
  <si>
    <t>5 x 7/8 x 1/8</t>
  </si>
  <si>
    <t>125*22*3</t>
  </si>
  <si>
    <t>4 x 1 x 5/32</t>
  </si>
  <si>
    <t>100*25*4</t>
  </si>
  <si>
    <t>5 x 1 x 5/32</t>
  </si>
  <si>
    <t>125*25*4</t>
  </si>
  <si>
    <t>6 x 1 x 5/32</t>
  </si>
  <si>
    <t>150*25*4</t>
  </si>
  <si>
    <t>4 x 1.1/8 x 5/32</t>
  </si>
  <si>
    <t>100*28*4</t>
  </si>
  <si>
    <t>5 x 1.1/8 x 5/32</t>
  </si>
  <si>
    <t>125*28*4</t>
  </si>
  <si>
    <t>6 x 1.1/8 x 5/32</t>
  </si>
  <si>
    <t>150*28*4</t>
  </si>
  <si>
    <t>4 x 1.1/4 x 5/32</t>
  </si>
  <si>
    <t>100*31*4</t>
  </si>
  <si>
    <t>5 x 1.1/4 x 5/32</t>
  </si>
  <si>
    <t>125*31*4</t>
  </si>
  <si>
    <t>6 x 1.1/4 x 5/32</t>
  </si>
  <si>
    <t>150*31*4</t>
  </si>
  <si>
    <t>8 x 1.1/4 x 5/32</t>
  </si>
  <si>
    <t>200*31*4</t>
  </si>
  <si>
    <t>4 x 1.1/2 x 5/32</t>
  </si>
  <si>
    <t>100*38*4</t>
  </si>
  <si>
    <t>5 x 1.1/2 x 5/32</t>
  </si>
  <si>
    <t>125*38*4</t>
  </si>
  <si>
    <t>6 x 1.1/2 x 5/32</t>
  </si>
  <si>
    <t>150*38*4</t>
  </si>
  <si>
    <t>4 x 1.1/8 x 3/16</t>
  </si>
  <si>
    <t>100*28*4.5</t>
  </si>
  <si>
    <t>5 x 1.1/8 x 3/16</t>
  </si>
  <si>
    <t>125*28*4.5</t>
  </si>
  <si>
    <t>6 x 1.1/8 x 3/16</t>
  </si>
  <si>
    <t>150*28*4.5</t>
  </si>
  <si>
    <t>4 x 1.1/4 x 3/16</t>
  </si>
  <si>
    <t>100*31*4.5</t>
  </si>
  <si>
    <t>5 x 1.1/4 x 3/16</t>
  </si>
  <si>
    <t>125*31*4.5</t>
  </si>
  <si>
    <t>6 x 1.1/4 x 3/16</t>
  </si>
  <si>
    <t>150*31*4.5</t>
  </si>
  <si>
    <t>8 x 1.1/4 x 3/16</t>
  </si>
  <si>
    <t>200*31*4.5</t>
  </si>
  <si>
    <t>4 x 1.1/2 x 3/16</t>
  </si>
  <si>
    <t>100*38*4.5</t>
  </si>
  <si>
    <t>5 x 1.1/2 x 3/16</t>
  </si>
  <si>
    <t>125*38*4.5</t>
  </si>
  <si>
    <t>6 x 1.1/2 x 3/16</t>
  </si>
  <si>
    <t>150*38*4.5</t>
  </si>
  <si>
    <t>8 x 1.1/2 x 3/16</t>
  </si>
  <si>
    <t>200*38*4.5</t>
  </si>
  <si>
    <t>3 x 3/4 x 3/32</t>
  </si>
  <si>
    <t>75*19*3</t>
  </si>
  <si>
    <t>10 x 1.1/4 x 3/16</t>
  </si>
  <si>
    <t>12 x 1.1/4 x 3/16</t>
  </si>
  <si>
    <t>18 x 1.1/4 x 3/16</t>
  </si>
  <si>
    <t>250*31*4.5</t>
  </si>
  <si>
    <t>300*31*4.5</t>
  </si>
  <si>
    <t>450*31*4.5</t>
  </si>
  <si>
    <t>10 x 1.1/2 x 3/16</t>
  </si>
  <si>
    <t>12 x 1.1/2 x 3/16</t>
  </si>
  <si>
    <t>18 x 1.1/2 x 3/16</t>
  </si>
  <si>
    <t>250*38*4.5</t>
  </si>
  <si>
    <t>300*38*4.5</t>
  </si>
  <si>
    <t>450*38*4.5</t>
  </si>
  <si>
    <t>4 x 2 x 3/16</t>
  </si>
  <si>
    <t>5 x 2 x 3/16</t>
  </si>
  <si>
    <t>6 x 2 x 3/16</t>
  </si>
  <si>
    <t>8 x 2 x 3/16</t>
  </si>
  <si>
    <t>10 x 2 x 3/16</t>
  </si>
  <si>
    <t>12 x 2 x 3/16</t>
  </si>
  <si>
    <t>18 x 2 x 3/16</t>
  </si>
  <si>
    <t>100*50*4.5</t>
  </si>
  <si>
    <t>125*50*4.5</t>
  </si>
  <si>
    <t>150*50*4.5</t>
  </si>
  <si>
    <t>200*50*4.5</t>
  </si>
  <si>
    <t>250*50*4.5</t>
  </si>
  <si>
    <t>300*50*4.5</t>
  </si>
  <si>
    <t>450*50*4.5</t>
  </si>
  <si>
    <t>PCS Weight</t>
  </si>
  <si>
    <t xml:space="preserve">Box / Pcs </t>
  </si>
  <si>
    <t>Box / Cartoon</t>
  </si>
  <si>
    <t>Total Pcs / Cartoon</t>
  </si>
  <si>
    <t>Total Cartoon Weight</t>
  </si>
  <si>
    <t>S.S.</t>
  </si>
  <si>
    <t>Antq.</t>
  </si>
  <si>
    <t>Side Gold</t>
  </si>
  <si>
    <t>Sartin Lacqur</t>
  </si>
  <si>
    <t>Z Black</t>
  </si>
  <si>
    <t>Gr. Black</t>
  </si>
  <si>
    <t>Matt S.S.</t>
  </si>
  <si>
    <t>Matt Antq.</t>
  </si>
  <si>
    <t>PVD Rose Gold</t>
  </si>
  <si>
    <t>PVD Gold</t>
  </si>
  <si>
    <t>PVD Black</t>
  </si>
  <si>
    <t>Rose Gold</t>
  </si>
  <si>
    <t>Clear Lacqur</t>
  </si>
  <si>
    <t>S.S.+10</t>
  </si>
  <si>
    <t>S.S.+12</t>
  </si>
  <si>
    <t>S.S.+105</t>
  </si>
  <si>
    <t>S.S.+60</t>
  </si>
  <si>
    <t>S.S.+30</t>
  </si>
  <si>
    <t>S.S.+400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</si>
</sst>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tabSelected="1" workbookViewId="0"/>
  </sheetViews>
  <sheetFormatPr defaultRowHeight="15"/>
  <cols>
    <col min="1" max="1" width="14.28515625" customWidth="1"/>
    <col min="2" max="2" width="17.28515625" bestFit="1" customWidth="1"/>
    <col min="3" max="3" width="15.7109375" bestFit="1" customWidth="1"/>
    <col min="4" max="4" width="11.42578125" customWidth="1"/>
    <col min="5" max="5" width="10.7109375" customWidth="1"/>
    <col min="7" max="7" width="10" customWidth="1"/>
    <col min="8" max="8" width="10.42578125" customWidth="1"/>
    <col min="9" max="9" width="11.42578125" customWidth="1"/>
    <col min="10" max="10" width="5.28515625" bestFit="1" customWidth="1"/>
    <col min="11" max="11" width="7.5703125" bestFit="1" customWidth="1"/>
    <col min="12" max="12" width="7.5703125" customWidth="1"/>
    <col min="13" max="13" width="8.7109375" bestFit="1" customWidth="1"/>
    <col min="15" max="15" width="7.5703125" customWidth="1"/>
  </cols>
  <sheetData>
    <row r="1" spans="1:22" ht="57" thickBot="1">
      <c r="A1" s="14" t="s">
        <v>0</v>
      </c>
      <c r="B1" s="14" t="s">
        <v>1</v>
      </c>
      <c r="C1" s="14" t="s">
        <v>2</v>
      </c>
      <c r="D1" s="14" t="s">
        <v>3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  <c r="J1" s="15" t="s">
        <v>91</v>
      </c>
      <c r="K1" s="15" t="s">
        <v>92</v>
      </c>
      <c r="L1" s="15" t="s">
        <v>93</v>
      </c>
      <c r="M1" s="15" t="s">
        <v>94</v>
      </c>
      <c r="N1" s="15" t="s">
        <v>95</v>
      </c>
      <c r="O1" s="15" t="s">
        <v>96</v>
      </c>
      <c r="P1" s="15" t="s">
        <v>97</v>
      </c>
      <c r="Q1" s="15" t="s">
        <v>98</v>
      </c>
      <c r="R1" s="15" t="s">
        <v>99</v>
      </c>
      <c r="S1" s="15" t="s">
        <v>100</v>
      </c>
      <c r="T1" s="15" t="s">
        <v>101</v>
      </c>
      <c r="U1" s="15" t="s">
        <v>102</v>
      </c>
      <c r="V1" s="15" t="s">
        <v>103</v>
      </c>
    </row>
    <row r="2" spans="1:22" ht="19.5" thickBot="1">
      <c r="A2" s="5">
        <v>0.95</v>
      </c>
      <c r="B2" s="6" t="s">
        <v>58</v>
      </c>
      <c r="C2" s="6" t="s">
        <v>59</v>
      </c>
      <c r="D2" s="7">
        <v>0.95</v>
      </c>
      <c r="E2" s="16">
        <f>D2/12</f>
        <v>7.9166666666666663E-2</v>
      </c>
      <c r="F2" s="20">
        <v>1</v>
      </c>
      <c r="G2" s="21">
        <v>1</v>
      </c>
      <c r="H2" s="20">
        <f>G2*F2</f>
        <v>1</v>
      </c>
      <c r="I2" s="22">
        <f>H2*E2</f>
        <v>7.9166666666666663E-2</v>
      </c>
      <c r="K2" s="20" t="s">
        <v>104</v>
      </c>
      <c r="L2" s="20" t="s">
        <v>105</v>
      </c>
      <c r="M2" s="20" t="s">
        <v>91</v>
      </c>
      <c r="N2" s="20" t="s">
        <v>106</v>
      </c>
      <c r="O2" s="20" t="s">
        <v>107</v>
      </c>
      <c r="P2" s="20" t="s">
        <v>108</v>
      </c>
      <c r="Q2" s="20" t="s">
        <v>107</v>
      </c>
      <c r="R2" s="20" t="s">
        <v>109</v>
      </c>
      <c r="S2" s="20" t="s">
        <v>109</v>
      </c>
      <c r="T2" s="20" t="s">
        <v>109</v>
      </c>
      <c r="U2" s="20" t="s">
        <v>109</v>
      </c>
      <c r="V2" s="20" t="s">
        <v>109</v>
      </c>
    </row>
    <row r="3" spans="1:22" ht="15.75" customHeight="1">
      <c r="A3" s="24">
        <v>1.45</v>
      </c>
      <c r="B3" s="3" t="s">
        <v>4</v>
      </c>
      <c r="C3" s="3" t="s">
        <v>5</v>
      </c>
      <c r="D3" s="1">
        <v>1.45</v>
      </c>
      <c r="E3" s="18">
        <f t="shared" ref="E3:E25" si="0">D3/12</f>
        <v>0.12083333333333333</v>
      </c>
      <c r="F3" s="20">
        <v>1</v>
      </c>
      <c r="G3" s="21">
        <v>1</v>
      </c>
      <c r="H3" s="20">
        <f t="shared" ref="H3:H25" si="1">G3*F3</f>
        <v>1</v>
      </c>
      <c r="I3" s="22">
        <f t="shared" ref="I3:I25" si="2">H3*E3</f>
        <v>0.12083333333333333</v>
      </c>
    </row>
    <row r="4" spans="1:22" ht="15.75">
      <c r="A4" s="24"/>
      <c r="B4" s="3" t="s">
        <v>6</v>
      </c>
      <c r="C4" s="3" t="s">
        <v>7</v>
      </c>
      <c r="D4" s="1">
        <v>1.9</v>
      </c>
      <c r="E4" s="18">
        <f t="shared" si="0"/>
        <v>0.15833333333333333</v>
      </c>
      <c r="F4" s="20">
        <v>1</v>
      </c>
      <c r="G4" s="21">
        <v>1</v>
      </c>
      <c r="H4" s="20">
        <f t="shared" si="1"/>
        <v>1</v>
      </c>
      <c r="I4" s="22">
        <f t="shared" si="2"/>
        <v>0.15833333333333333</v>
      </c>
    </row>
    <row r="5" spans="1:22" ht="16.5" thickBot="1">
      <c r="A5" s="25"/>
      <c r="B5" s="4" t="s">
        <v>8</v>
      </c>
      <c r="C5" s="4" t="s">
        <v>9</v>
      </c>
      <c r="D5" s="2">
        <v>2.4</v>
      </c>
      <c r="E5" s="19">
        <f t="shared" si="0"/>
        <v>0.19999999999999998</v>
      </c>
      <c r="F5" s="20">
        <v>1</v>
      </c>
      <c r="G5" s="21">
        <v>1</v>
      </c>
      <c r="H5" s="20">
        <f t="shared" si="1"/>
        <v>1</v>
      </c>
      <c r="I5" s="22">
        <f t="shared" si="2"/>
        <v>0.19999999999999998</v>
      </c>
    </row>
    <row r="6" spans="1:22" ht="15.75">
      <c r="A6" s="23">
        <v>3.25</v>
      </c>
      <c r="B6" s="8" t="s">
        <v>10</v>
      </c>
      <c r="C6" s="8" t="s">
        <v>11</v>
      </c>
      <c r="D6" s="9">
        <v>2.6</v>
      </c>
      <c r="E6" s="17">
        <f t="shared" si="0"/>
        <v>0.21666666666666667</v>
      </c>
      <c r="F6" s="20">
        <v>1</v>
      </c>
      <c r="G6" s="21">
        <v>1</v>
      </c>
      <c r="H6" s="20">
        <f t="shared" si="1"/>
        <v>1</v>
      </c>
      <c r="I6" s="22">
        <f t="shared" si="2"/>
        <v>0.21666666666666667</v>
      </c>
    </row>
    <row r="7" spans="1:22" ht="15.75">
      <c r="A7" s="24"/>
      <c r="B7" s="3" t="s">
        <v>12</v>
      </c>
      <c r="C7" s="3" t="s">
        <v>13</v>
      </c>
      <c r="D7" s="1">
        <v>3.25</v>
      </c>
      <c r="E7" s="18">
        <f t="shared" si="0"/>
        <v>0.27083333333333331</v>
      </c>
      <c r="F7" s="20">
        <v>1</v>
      </c>
      <c r="G7" s="21">
        <v>1</v>
      </c>
      <c r="H7" s="20">
        <f t="shared" si="1"/>
        <v>1</v>
      </c>
      <c r="I7" s="22">
        <f t="shared" si="2"/>
        <v>0.27083333333333331</v>
      </c>
    </row>
    <row r="8" spans="1:22" ht="16.5" thickBot="1">
      <c r="A8" s="25"/>
      <c r="B8" s="4" t="s">
        <v>14</v>
      </c>
      <c r="C8" s="4" t="s">
        <v>15</v>
      </c>
      <c r="D8" s="2">
        <v>3.9</v>
      </c>
      <c r="E8" s="19">
        <f t="shared" si="0"/>
        <v>0.32500000000000001</v>
      </c>
      <c r="F8" s="20">
        <v>1</v>
      </c>
      <c r="G8" s="21">
        <v>1</v>
      </c>
      <c r="H8" s="20">
        <f t="shared" si="1"/>
        <v>1</v>
      </c>
      <c r="I8" s="22">
        <f t="shared" si="2"/>
        <v>0.32500000000000001</v>
      </c>
    </row>
    <row r="9" spans="1:22" ht="15.75">
      <c r="A9" s="24">
        <v>3.6</v>
      </c>
      <c r="B9" s="3" t="s">
        <v>16</v>
      </c>
      <c r="C9" s="3" t="s">
        <v>17</v>
      </c>
      <c r="D9" s="1">
        <v>2.9</v>
      </c>
      <c r="E9" s="18">
        <f t="shared" si="0"/>
        <v>0.24166666666666667</v>
      </c>
      <c r="F9" s="20">
        <v>1</v>
      </c>
      <c r="G9" s="21">
        <v>1</v>
      </c>
      <c r="H9" s="20">
        <f t="shared" si="1"/>
        <v>1</v>
      </c>
      <c r="I9" s="22">
        <f t="shared" si="2"/>
        <v>0.24166666666666667</v>
      </c>
    </row>
    <row r="10" spans="1:22" ht="15.75" customHeight="1">
      <c r="A10" s="24"/>
      <c r="B10" s="3" t="s">
        <v>18</v>
      </c>
      <c r="C10" s="3" t="s">
        <v>19</v>
      </c>
      <c r="D10" s="1">
        <v>3.6</v>
      </c>
      <c r="E10" s="18">
        <f t="shared" si="0"/>
        <v>0.3</v>
      </c>
      <c r="F10" s="20">
        <v>1</v>
      </c>
      <c r="G10" s="21">
        <v>1</v>
      </c>
      <c r="H10" s="20">
        <f t="shared" si="1"/>
        <v>1</v>
      </c>
      <c r="I10" s="22">
        <f t="shared" si="2"/>
        <v>0.3</v>
      </c>
    </row>
    <row r="11" spans="1:22" ht="15.75" customHeight="1" thickBot="1">
      <c r="A11" s="25"/>
      <c r="B11" s="4" t="s">
        <v>20</v>
      </c>
      <c r="C11" s="4" t="s">
        <v>21</v>
      </c>
      <c r="D11" s="2">
        <v>4.3</v>
      </c>
      <c r="E11" s="19">
        <f t="shared" si="0"/>
        <v>0.35833333333333334</v>
      </c>
      <c r="F11" s="20">
        <v>1</v>
      </c>
      <c r="G11" s="21">
        <v>1</v>
      </c>
      <c r="H11" s="20">
        <f t="shared" si="1"/>
        <v>1</v>
      </c>
      <c r="I11" s="22">
        <f t="shared" si="2"/>
        <v>0.35833333333333334</v>
      </c>
    </row>
    <row r="12" spans="1:22" ht="15.75" customHeight="1">
      <c r="A12" s="24">
        <v>4.2</v>
      </c>
      <c r="B12" s="3" t="s">
        <v>22</v>
      </c>
      <c r="C12" s="3" t="s">
        <v>23</v>
      </c>
      <c r="D12" s="1">
        <v>3.35</v>
      </c>
      <c r="E12" s="18">
        <f t="shared" si="0"/>
        <v>0.27916666666666667</v>
      </c>
      <c r="F12" s="20">
        <v>1</v>
      </c>
      <c r="G12" s="21">
        <v>1</v>
      </c>
      <c r="H12" s="20">
        <f t="shared" si="1"/>
        <v>1</v>
      </c>
      <c r="I12" s="22">
        <f t="shared" si="2"/>
        <v>0.27916666666666667</v>
      </c>
    </row>
    <row r="13" spans="1:22" ht="15.75" customHeight="1">
      <c r="A13" s="24"/>
      <c r="B13" s="3" t="s">
        <v>24</v>
      </c>
      <c r="C13" s="3" t="s">
        <v>25</v>
      </c>
      <c r="D13" s="1">
        <v>4.2</v>
      </c>
      <c r="E13" s="18">
        <f t="shared" si="0"/>
        <v>0.35000000000000003</v>
      </c>
      <c r="F13" s="20">
        <v>1</v>
      </c>
      <c r="G13" s="21">
        <v>1</v>
      </c>
      <c r="H13" s="20">
        <f t="shared" si="1"/>
        <v>1</v>
      </c>
      <c r="I13" s="22">
        <f t="shared" si="2"/>
        <v>0.35000000000000003</v>
      </c>
    </row>
    <row r="14" spans="1:22" ht="15.75" customHeight="1">
      <c r="A14" s="24"/>
      <c r="B14" s="3" t="s">
        <v>26</v>
      </c>
      <c r="C14" s="3" t="s">
        <v>27</v>
      </c>
      <c r="D14" s="1">
        <v>5.05</v>
      </c>
      <c r="E14" s="18">
        <f t="shared" si="0"/>
        <v>0.42083333333333334</v>
      </c>
      <c r="F14" s="20">
        <v>1</v>
      </c>
      <c r="G14" s="21">
        <v>1</v>
      </c>
      <c r="H14" s="20">
        <f t="shared" si="1"/>
        <v>1</v>
      </c>
      <c r="I14" s="22">
        <f t="shared" si="2"/>
        <v>0.42083333333333334</v>
      </c>
    </row>
    <row r="15" spans="1:22" ht="15.75" customHeight="1">
      <c r="A15" s="24"/>
      <c r="B15" s="3" t="s">
        <v>28</v>
      </c>
      <c r="C15" s="3" t="s">
        <v>29</v>
      </c>
      <c r="D15" s="1">
        <v>6.72</v>
      </c>
      <c r="E15" s="18">
        <f t="shared" si="0"/>
        <v>0.55999999999999994</v>
      </c>
      <c r="F15" s="20">
        <v>1</v>
      </c>
      <c r="G15" s="21">
        <v>1</v>
      </c>
      <c r="H15" s="20">
        <f t="shared" si="1"/>
        <v>1</v>
      </c>
      <c r="I15" s="22">
        <f t="shared" si="2"/>
        <v>0.55999999999999994</v>
      </c>
    </row>
    <row r="16" spans="1:22" ht="15.75">
      <c r="A16" s="24">
        <v>4.8</v>
      </c>
      <c r="B16" s="3" t="s">
        <v>30</v>
      </c>
      <c r="C16" s="3" t="s">
        <v>31</v>
      </c>
      <c r="D16" s="10">
        <v>3.85</v>
      </c>
      <c r="E16" s="18">
        <f t="shared" si="0"/>
        <v>0.32083333333333336</v>
      </c>
      <c r="F16" s="20">
        <v>1</v>
      </c>
      <c r="G16" s="21">
        <v>1</v>
      </c>
      <c r="H16" s="20">
        <f t="shared" si="1"/>
        <v>1</v>
      </c>
      <c r="I16" s="22">
        <f t="shared" si="2"/>
        <v>0.32083333333333336</v>
      </c>
    </row>
    <row r="17" spans="1:9" ht="15.75">
      <c r="A17" s="24"/>
      <c r="B17" s="3" t="s">
        <v>32</v>
      </c>
      <c r="C17" s="3" t="s">
        <v>33</v>
      </c>
      <c r="D17" s="10">
        <v>4.8</v>
      </c>
      <c r="E17" s="18">
        <f t="shared" si="0"/>
        <v>0.39999999999999997</v>
      </c>
      <c r="F17" s="20">
        <v>1</v>
      </c>
      <c r="G17" s="21">
        <v>1</v>
      </c>
      <c r="H17" s="20">
        <f t="shared" si="1"/>
        <v>1</v>
      </c>
      <c r="I17" s="22">
        <f t="shared" si="2"/>
        <v>0.39999999999999997</v>
      </c>
    </row>
    <row r="18" spans="1:9" ht="16.5" thickBot="1">
      <c r="A18" s="25"/>
      <c r="B18" s="4" t="s">
        <v>34</v>
      </c>
      <c r="C18" s="4" t="s">
        <v>35</v>
      </c>
      <c r="D18" s="11">
        <v>5.7750000000000004</v>
      </c>
      <c r="E18" s="19">
        <f t="shared" si="0"/>
        <v>0.48125000000000001</v>
      </c>
      <c r="F18" s="20">
        <v>1</v>
      </c>
      <c r="G18" s="21">
        <v>1</v>
      </c>
      <c r="H18" s="20">
        <f t="shared" si="1"/>
        <v>1</v>
      </c>
      <c r="I18" s="22">
        <f t="shared" si="2"/>
        <v>0.48125000000000001</v>
      </c>
    </row>
    <row r="19" spans="1:9" ht="15.75">
      <c r="A19" s="23">
        <v>4.0999999999999996</v>
      </c>
      <c r="B19" s="8" t="s">
        <v>36</v>
      </c>
      <c r="C19" s="8" t="s">
        <v>37</v>
      </c>
      <c r="D19" s="9">
        <v>3.2749999999999999</v>
      </c>
      <c r="E19" s="17">
        <f t="shared" si="0"/>
        <v>0.27291666666666664</v>
      </c>
      <c r="F19" s="20">
        <v>1</v>
      </c>
      <c r="G19" s="21">
        <v>1</v>
      </c>
      <c r="H19" s="20">
        <f t="shared" si="1"/>
        <v>1</v>
      </c>
      <c r="I19" s="22">
        <f t="shared" si="2"/>
        <v>0.27291666666666664</v>
      </c>
    </row>
    <row r="20" spans="1:9" ht="15.75">
      <c r="A20" s="24"/>
      <c r="B20" s="3" t="s">
        <v>38</v>
      </c>
      <c r="C20" s="3" t="s">
        <v>39</v>
      </c>
      <c r="D20" s="1">
        <v>4.0999999999999996</v>
      </c>
      <c r="E20" s="18">
        <f t="shared" si="0"/>
        <v>0.34166666666666662</v>
      </c>
      <c r="F20" s="20">
        <v>1</v>
      </c>
      <c r="G20" s="21">
        <v>1</v>
      </c>
      <c r="H20" s="20">
        <f t="shared" si="1"/>
        <v>1</v>
      </c>
      <c r="I20" s="22">
        <f t="shared" si="2"/>
        <v>0.34166666666666662</v>
      </c>
    </row>
    <row r="21" spans="1:9" ht="16.5" thickBot="1">
      <c r="A21" s="25"/>
      <c r="B21" s="4" t="s">
        <v>40</v>
      </c>
      <c r="C21" s="4" t="s">
        <v>41</v>
      </c>
      <c r="D21" s="2">
        <v>4.9249999999999998</v>
      </c>
      <c r="E21" s="19">
        <f t="shared" si="0"/>
        <v>0.41041666666666665</v>
      </c>
      <c r="F21" s="20">
        <v>1</v>
      </c>
      <c r="G21" s="21">
        <v>1</v>
      </c>
      <c r="H21" s="20">
        <f t="shared" si="1"/>
        <v>1</v>
      </c>
      <c r="I21" s="22">
        <f t="shared" si="2"/>
        <v>0.41041666666666665</v>
      </c>
    </row>
    <row r="22" spans="1:9" ht="15.75" customHeight="1">
      <c r="A22" s="28">
        <v>5.05</v>
      </c>
      <c r="B22" s="3" t="s">
        <v>42</v>
      </c>
      <c r="C22" s="3" t="s">
        <v>43</v>
      </c>
      <c r="D22" s="1">
        <v>4.05</v>
      </c>
      <c r="E22" s="18">
        <f t="shared" si="0"/>
        <v>0.33749999999999997</v>
      </c>
      <c r="F22" s="20">
        <v>1</v>
      </c>
      <c r="G22" s="21">
        <v>1</v>
      </c>
      <c r="H22" s="20">
        <f t="shared" si="1"/>
        <v>1</v>
      </c>
      <c r="I22" s="22">
        <f t="shared" si="2"/>
        <v>0.33749999999999997</v>
      </c>
    </row>
    <row r="23" spans="1:9" ht="15.75" customHeight="1">
      <c r="A23" s="27"/>
      <c r="B23" s="3" t="s">
        <v>44</v>
      </c>
      <c r="C23" s="3" t="s">
        <v>45</v>
      </c>
      <c r="D23" s="1">
        <v>5.05</v>
      </c>
      <c r="E23" s="18">
        <f t="shared" si="0"/>
        <v>0.42083333333333334</v>
      </c>
      <c r="F23" s="20">
        <v>1</v>
      </c>
      <c r="G23" s="21">
        <v>1</v>
      </c>
      <c r="H23" s="20">
        <f t="shared" si="1"/>
        <v>1</v>
      </c>
      <c r="I23" s="22">
        <f t="shared" si="2"/>
        <v>0.42083333333333334</v>
      </c>
    </row>
    <row r="24" spans="1:9" ht="15.75" customHeight="1">
      <c r="A24" s="27"/>
      <c r="B24" s="3" t="s">
        <v>46</v>
      </c>
      <c r="C24" s="3" t="s">
        <v>47</v>
      </c>
      <c r="D24" s="1">
        <v>6.05</v>
      </c>
      <c r="E24" s="18">
        <f t="shared" si="0"/>
        <v>0.50416666666666665</v>
      </c>
      <c r="F24" s="20">
        <v>1</v>
      </c>
      <c r="G24" s="21">
        <v>1</v>
      </c>
      <c r="H24" s="20">
        <f t="shared" si="1"/>
        <v>1</v>
      </c>
      <c r="I24" s="22">
        <f t="shared" si="2"/>
        <v>0.50416666666666665</v>
      </c>
    </row>
    <row r="25" spans="1:9" ht="15" customHeight="1">
      <c r="A25" s="27"/>
      <c r="B25" s="3" t="s">
        <v>48</v>
      </c>
      <c r="C25" s="3" t="s">
        <v>49</v>
      </c>
      <c r="D25" s="1">
        <v>8.1</v>
      </c>
      <c r="E25" s="18">
        <f t="shared" si="0"/>
        <v>0.67499999999999993</v>
      </c>
      <c r="F25" s="20">
        <v>1</v>
      </c>
      <c r="G25" s="21">
        <v>1</v>
      </c>
      <c r="H25" s="20">
        <f t="shared" si="1"/>
        <v>1</v>
      </c>
      <c r="I25" s="22">
        <f t="shared" si="2"/>
        <v>0.67499999999999993</v>
      </c>
    </row>
    <row r="26" spans="1:9" ht="15" customHeight="1">
      <c r="A26" s="27"/>
      <c r="B26" s="3" t="s">
        <v>60</v>
      </c>
      <c r="C26" s="3" t="s">
        <v>63</v>
      </c>
      <c r="D26" s="1">
        <v>10.1</v>
      </c>
      <c r="E26" s="18">
        <f t="shared" ref="E26:E42" si="3">D26/12</f>
        <v>0.84166666666666667</v>
      </c>
      <c r="F26" s="20">
        <v>1</v>
      </c>
      <c r="G26" s="21">
        <v>1</v>
      </c>
      <c r="H26" s="20">
        <f t="shared" ref="H26:H42" si="4">G26*F26</f>
        <v>1</v>
      </c>
      <c r="I26" s="22">
        <f t="shared" ref="I26:I42" si="5">H26*E26</f>
        <v>0.84166666666666667</v>
      </c>
    </row>
    <row r="27" spans="1:9" ht="15" customHeight="1">
      <c r="A27" s="27"/>
      <c r="B27" s="3" t="s">
        <v>61</v>
      </c>
      <c r="C27" s="3" t="s">
        <v>64</v>
      </c>
      <c r="D27" s="1">
        <v>12.1</v>
      </c>
      <c r="E27" s="18">
        <f t="shared" si="3"/>
        <v>1.0083333333333333</v>
      </c>
      <c r="F27" s="20">
        <v>1</v>
      </c>
      <c r="G27" s="21">
        <v>1</v>
      </c>
      <c r="H27" s="20">
        <f t="shared" si="4"/>
        <v>1</v>
      </c>
      <c r="I27" s="22">
        <f t="shared" si="5"/>
        <v>1.0083333333333333</v>
      </c>
    </row>
    <row r="28" spans="1:9" ht="15" customHeight="1" thickBot="1">
      <c r="A28" s="29"/>
      <c r="B28" s="4" t="s">
        <v>62</v>
      </c>
      <c r="C28" s="4" t="s">
        <v>65</v>
      </c>
      <c r="D28" s="2">
        <v>18.149999999999999</v>
      </c>
      <c r="E28" s="19">
        <f t="shared" si="3"/>
        <v>1.5125</v>
      </c>
      <c r="F28" s="20">
        <v>1</v>
      </c>
      <c r="G28" s="21">
        <v>1</v>
      </c>
      <c r="H28" s="20">
        <f t="shared" si="4"/>
        <v>1</v>
      </c>
      <c r="I28" s="22">
        <f t="shared" si="5"/>
        <v>1.5125</v>
      </c>
    </row>
    <row r="29" spans="1:9" ht="15.75" customHeight="1">
      <c r="A29" s="26">
        <v>6</v>
      </c>
      <c r="B29" s="8" t="s">
        <v>50</v>
      </c>
      <c r="C29" s="8" t="s">
        <v>51</v>
      </c>
      <c r="D29" s="9">
        <v>4.8</v>
      </c>
      <c r="E29" s="17">
        <f t="shared" si="3"/>
        <v>0.39999999999999997</v>
      </c>
      <c r="F29" s="20">
        <v>1</v>
      </c>
      <c r="G29" s="21">
        <v>1</v>
      </c>
      <c r="H29" s="20">
        <f t="shared" si="4"/>
        <v>1</v>
      </c>
      <c r="I29" s="22">
        <f t="shared" si="5"/>
        <v>0.39999999999999997</v>
      </c>
    </row>
    <row r="30" spans="1:9" ht="15.75" customHeight="1">
      <c r="A30" s="27"/>
      <c r="B30" s="3" t="s">
        <v>52</v>
      </c>
      <c r="C30" s="3" t="s">
        <v>53</v>
      </c>
      <c r="D30" s="1">
        <v>6</v>
      </c>
      <c r="E30" s="18">
        <f t="shared" si="3"/>
        <v>0.5</v>
      </c>
      <c r="F30" s="20">
        <v>1</v>
      </c>
      <c r="G30" s="21">
        <v>1</v>
      </c>
      <c r="H30" s="20">
        <f t="shared" si="4"/>
        <v>1</v>
      </c>
      <c r="I30" s="22">
        <f t="shared" si="5"/>
        <v>0.5</v>
      </c>
    </row>
    <row r="31" spans="1:9" ht="15.75" customHeight="1">
      <c r="A31" s="27"/>
      <c r="B31" s="3" t="s">
        <v>54</v>
      </c>
      <c r="C31" s="3" t="s">
        <v>55</v>
      </c>
      <c r="D31" s="1">
        <v>7.2</v>
      </c>
      <c r="E31" s="18">
        <f t="shared" si="3"/>
        <v>0.6</v>
      </c>
      <c r="F31" s="20">
        <v>1</v>
      </c>
      <c r="G31" s="21">
        <v>1</v>
      </c>
      <c r="H31" s="20">
        <f t="shared" si="4"/>
        <v>1</v>
      </c>
      <c r="I31" s="22">
        <f t="shared" si="5"/>
        <v>0.6</v>
      </c>
    </row>
    <row r="32" spans="1:9" ht="15.75" customHeight="1">
      <c r="A32" s="27"/>
      <c r="B32" s="3" t="s">
        <v>56</v>
      </c>
      <c r="C32" s="3" t="s">
        <v>57</v>
      </c>
      <c r="D32" s="1">
        <v>9.6</v>
      </c>
      <c r="E32" s="18">
        <f t="shared" si="3"/>
        <v>0.79999999999999993</v>
      </c>
      <c r="F32" s="20">
        <v>1</v>
      </c>
      <c r="G32" s="21">
        <v>1</v>
      </c>
      <c r="H32" s="20">
        <f t="shared" si="4"/>
        <v>1</v>
      </c>
      <c r="I32" s="22">
        <f t="shared" si="5"/>
        <v>0.79999999999999993</v>
      </c>
    </row>
    <row r="33" spans="1:9" ht="15.75" customHeight="1">
      <c r="A33" s="27"/>
      <c r="B33" s="3" t="s">
        <v>66</v>
      </c>
      <c r="C33" s="3" t="s">
        <v>69</v>
      </c>
      <c r="D33" s="1">
        <v>12</v>
      </c>
      <c r="E33" s="18">
        <f t="shared" si="3"/>
        <v>1</v>
      </c>
      <c r="F33" s="20">
        <v>1</v>
      </c>
      <c r="G33" s="21">
        <v>1</v>
      </c>
      <c r="H33" s="20">
        <f t="shared" si="4"/>
        <v>1</v>
      </c>
      <c r="I33" s="22">
        <f t="shared" si="5"/>
        <v>1</v>
      </c>
    </row>
    <row r="34" spans="1:9" ht="15.75" customHeight="1">
      <c r="A34" s="27"/>
      <c r="B34" s="3" t="s">
        <v>67</v>
      </c>
      <c r="C34" s="3" t="s">
        <v>70</v>
      </c>
      <c r="D34" s="1">
        <v>14.4</v>
      </c>
      <c r="E34" s="18">
        <f t="shared" si="3"/>
        <v>1.2</v>
      </c>
      <c r="F34" s="20">
        <v>1</v>
      </c>
      <c r="G34" s="21">
        <v>1</v>
      </c>
      <c r="H34" s="20">
        <f t="shared" si="4"/>
        <v>1</v>
      </c>
      <c r="I34" s="22">
        <f t="shared" si="5"/>
        <v>1.2</v>
      </c>
    </row>
    <row r="35" spans="1:9" ht="15.75" customHeight="1" thickBot="1">
      <c r="A35" s="29"/>
      <c r="B35" s="4" t="s">
        <v>68</v>
      </c>
      <c r="C35" s="4" t="s">
        <v>71</v>
      </c>
      <c r="D35" s="2">
        <v>21.6</v>
      </c>
      <c r="E35" s="19">
        <f t="shared" si="3"/>
        <v>1.8</v>
      </c>
      <c r="F35" s="20">
        <v>1</v>
      </c>
      <c r="G35" s="21">
        <v>1</v>
      </c>
      <c r="H35" s="20">
        <f t="shared" si="4"/>
        <v>1</v>
      </c>
      <c r="I35" s="22">
        <f t="shared" si="5"/>
        <v>1.8</v>
      </c>
    </row>
    <row r="36" spans="1:9" ht="15.75">
      <c r="A36" s="23">
        <v>7.6</v>
      </c>
      <c r="B36" s="12" t="s">
        <v>72</v>
      </c>
      <c r="C36" s="12" t="s">
        <v>79</v>
      </c>
      <c r="D36" s="13">
        <v>5.0999999999999996</v>
      </c>
      <c r="E36" s="17">
        <f t="shared" si="3"/>
        <v>0.42499999999999999</v>
      </c>
      <c r="F36" s="20">
        <v>1</v>
      </c>
      <c r="G36" s="21">
        <v>1</v>
      </c>
      <c r="H36" s="20">
        <f t="shared" si="4"/>
        <v>1</v>
      </c>
      <c r="I36" s="22">
        <f t="shared" si="5"/>
        <v>0.42499999999999999</v>
      </c>
    </row>
    <row r="37" spans="1:9" ht="15.75">
      <c r="A37" s="24"/>
      <c r="B37" s="3" t="s">
        <v>73</v>
      </c>
      <c r="C37" s="3" t="s">
        <v>80</v>
      </c>
      <c r="D37" s="1">
        <v>7.6</v>
      </c>
      <c r="E37" s="18">
        <f t="shared" si="3"/>
        <v>0.6333333333333333</v>
      </c>
      <c r="F37" s="20">
        <v>1</v>
      </c>
      <c r="G37" s="21">
        <v>1</v>
      </c>
      <c r="H37" s="20">
        <f t="shared" si="4"/>
        <v>1</v>
      </c>
      <c r="I37" s="22">
        <f t="shared" si="5"/>
        <v>0.6333333333333333</v>
      </c>
    </row>
    <row r="38" spans="1:9" ht="15.75">
      <c r="A38" s="24"/>
      <c r="B38" s="3" t="s">
        <v>74</v>
      </c>
      <c r="C38" s="3" t="s">
        <v>81</v>
      </c>
      <c r="D38" s="1">
        <v>9.1</v>
      </c>
      <c r="E38" s="18">
        <f t="shared" si="3"/>
        <v>0.7583333333333333</v>
      </c>
      <c r="F38" s="20">
        <v>1</v>
      </c>
      <c r="G38" s="21">
        <v>1</v>
      </c>
      <c r="H38" s="20">
        <f t="shared" si="4"/>
        <v>1</v>
      </c>
      <c r="I38" s="22">
        <f t="shared" si="5"/>
        <v>0.7583333333333333</v>
      </c>
    </row>
    <row r="39" spans="1:9" ht="15.75">
      <c r="A39" s="24"/>
      <c r="B39" s="3" t="s">
        <v>75</v>
      </c>
      <c r="C39" s="3" t="s">
        <v>82</v>
      </c>
      <c r="D39" s="1">
        <v>10.199999999999999</v>
      </c>
      <c r="E39" s="18">
        <f t="shared" si="3"/>
        <v>0.85</v>
      </c>
      <c r="F39" s="20">
        <v>1</v>
      </c>
      <c r="G39" s="21">
        <v>1</v>
      </c>
      <c r="H39" s="20">
        <f t="shared" si="4"/>
        <v>1</v>
      </c>
      <c r="I39" s="22">
        <f t="shared" si="5"/>
        <v>0.85</v>
      </c>
    </row>
    <row r="40" spans="1:9" ht="15.75">
      <c r="A40" s="24"/>
      <c r="B40" s="3" t="s">
        <v>76</v>
      </c>
      <c r="C40" s="3" t="s">
        <v>83</v>
      </c>
      <c r="D40" s="1">
        <v>15.2</v>
      </c>
      <c r="E40" s="18">
        <f t="shared" si="3"/>
        <v>1.2666666666666666</v>
      </c>
      <c r="F40" s="20">
        <v>1</v>
      </c>
      <c r="G40" s="21">
        <v>1</v>
      </c>
      <c r="H40" s="20">
        <f t="shared" si="4"/>
        <v>1</v>
      </c>
      <c r="I40" s="22">
        <f t="shared" si="5"/>
        <v>1.2666666666666666</v>
      </c>
    </row>
    <row r="41" spans="1:9" ht="15.75">
      <c r="A41" s="24"/>
      <c r="B41" s="3" t="s">
        <v>77</v>
      </c>
      <c r="C41" s="3" t="s">
        <v>84</v>
      </c>
      <c r="D41" s="1">
        <v>18.2</v>
      </c>
      <c r="E41" s="18">
        <f t="shared" si="3"/>
        <v>1.5166666666666666</v>
      </c>
      <c r="F41" s="20">
        <v>1</v>
      </c>
      <c r="G41" s="21">
        <v>1</v>
      </c>
      <c r="H41" s="20">
        <f t="shared" si="4"/>
        <v>1</v>
      </c>
      <c r="I41" s="22">
        <f t="shared" si="5"/>
        <v>1.5166666666666666</v>
      </c>
    </row>
    <row r="42" spans="1:9" ht="16.5" thickBot="1">
      <c r="A42" s="25"/>
      <c r="B42" s="4" t="s">
        <v>78</v>
      </c>
      <c r="C42" s="4" t="s">
        <v>85</v>
      </c>
      <c r="D42" s="2">
        <v>27.3</v>
      </c>
      <c r="E42" s="19">
        <f t="shared" si="3"/>
        <v>2.2749999999999999</v>
      </c>
      <c r="F42" s="20">
        <v>1</v>
      </c>
      <c r="G42" s="21">
        <v>1</v>
      </c>
      <c r="H42" s="20">
        <f t="shared" si="4"/>
        <v>1</v>
      </c>
      <c r="I42" s="22">
        <f t="shared" si="5"/>
        <v>2.2749999999999999</v>
      </c>
    </row>
  </sheetData>
  <mergeCells count="9">
    <mergeCell ref="A12:A15"/>
    <mergeCell ref="A3:A5"/>
    <mergeCell ref="A36:A42"/>
    <mergeCell ref="A16:A18"/>
    <mergeCell ref="A19:A21"/>
    <mergeCell ref="A22:A28"/>
    <mergeCell ref="A29:A35"/>
    <mergeCell ref="A9:A11"/>
    <mergeCell ref="A6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2026-05-31T08:45:41Z</cp:lastPrinted>
  <dcterms:created xsi:type="dcterms:W3CDTF">2024-07-11T09:46:07Z</dcterms:created>
  <dcterms:modified xsi:type="dcterms:W3CDTF">2026-06-14T06:47:21Z</dcterms:modified>
</cp:coreProperties>
</file>