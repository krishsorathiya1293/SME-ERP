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/>
  </bookViews>
  <sheets>
    <sheet name="All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5" i="1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I156" l="1"/>
  <c r="I132"/>
  <c r="I128"/>
  <c r="I124"/>
  <c r="I120"/>
  <c r="I116"/>
  <c r="I170"/>
  <c r="I166"/>
  <c r="I163"/>
  <c r="I159"/>
  <c r="I155"/>
  <c r="I135"/>
  <c r="I127"/>
  <c r="I123"/>
  <c r="I173"/>
  <c r="I162"/>
  <c r="I133"/>
  <c r="I129"/>
  <c r="I125"/>
  <c r="I121"/>
  <c r="I117"/>
  <c r="I171"/>
  <c r="I167"/>
  <c r="I164"/>
  <c r="I160"/>
  <c r="I131"/>
  <c r="I119"/>
  <c r="I169"/>
  <c r="I158"/>
  <c r="I134"/>
  <c r="I130"/>
  <c r="I126"/>
  <c r="I122"/>
  <c r="I118"/>
  <c r="I172"/>
  <c r="I168"/>
  <c r="I165"/>
  <c r="I161"/>
  <c r="I157"/>
  <c r="E302"/>
  <c r="I302" s="1"/>
  <c r="E301"/>
  <c r="I301" s="1"/>
  <c r="E300"/>
  <c r="I300" s="1"/>
  <c r="E299"/>
  <c r="I299" s="1"/>
  <c r="E298"/>
  <c r="I298" s="1"/>
  <c r="E297"/>
  <c r="I297" s="1"/>
  <c r="E296"/>
  <c r="I296" s="1"/>
  <c r="E295"/>
  <c r="I295" s="1"/>
  <c r="E294"/>
  <c r="I294" s="1"/>
  <c r="E293"/>
  <c r="I293" s="1"/>
  <c r="E292"/>
  <c r="I292" s="1"/>
  <c r="E291"/>
  <c r="I291" s="1"/>
  <c r="E290"/>
  <c r="I290" s="1"/>
  <c r="E289"/>
  <c r="I289" s="1"/>
  <c r="E288"/>
  <c r="I288" s="1"/>
  <c r="E287"/>
  <c r="I287" s="1"/>
  <c r="E286"/>
  <c r="I286" s="1"/>
  <c r="E285"/>
  <c r="I285" s="1"/>
  <c r="E284"/>
  <c r="I284" s="1"/>
  <c r="E283"/>
  <c r="I283" s="1"/>
  <c r="E282"/>
  <c r="I282" s="1"/>
  <c r="E281"/>
  <c r="I281" s="1"/>
  <c r="E280"/>
  <c r="I280" s="1"/>
  <c r="E279"/>
  <c r="I279" s="1"/>
  <c r="E278"/>
  <c r="I278" s="1"/>
  <c r="E277"/>
  <c r="I277" s="1"/>
  <c r="E276"/>
  <c r="I276" s="1"/>
  <c r="E275"/>
  <c r="I275" s="1"/>
  <c r="E274"/>
  <c r="I274" s="1"/>
  <c r="E273"/>
  <c r="I273" s="1"/>
  <c r="E272"/>
  <c r="I272" s="1"/>
  <c r="E271"/>
  <c r="I271" s="1"/>
  <c r="E270"/>
  <c r="I270" s="1"/>
  <c r="E266"/>
  <c r="I266" s="1"/>
  <c r="E267"/>
  <c r="I267" s="1"/>
  <c r="E268"/>
  <c r="I268" s="1"/>
  <c r="E269"/>
  <c r="I269" s="1"/>
  <c r="E174"/>
  <c r="I174" s="1"/>
  <c r="E175"/>
  <c r="I175" s="1"/>
  <c r="E176"/>
  <c r="I176" s="1"/>
  <c r="E177"/>
  <c r="I177" s="1"/>
  <c r="E178"/>
  <c r="I178" s="1"/>
  <c r="E179"/>
  <c r="I179" s="1"/>
  <c r="E180"/>
  <c r="I180" s="1"/>
  <c r="E181"/>
  <c r="I181" s="1"/>
  <c r="E182"/>
  <c r="I182" s="1"/>
  <c r="E183"/>
  <c r="I183" s="1"/>
  <c r="E184"/>
  <c r="I184" s="1"/>
  <c r="E185"/>
  <c r="I185" s="1"/>
  <c r="E186"/>
  <c r="I186" s="1"/>
  <c r="E187"/>
  <c r="I187" s="1"/>
  <c r="E188"/>
  <c r="I188" s="1"/>
  <c r="E189"/>
  <c r="I189" s="1"/>
  <c r="E190"/>
  <c r="I190" s="1"/>
  <c r="E191"/>
  <c r="I191" s="1"/>
  <c r="E192"/>
  <c r="I192" s="1"/>
  <c r="E193"/>
  <c r="I193" s="1"/>
  <c r="E194"/>
  <c r="I194" s="1"/>
  <c r="E195"/>
  <c r="I195" s="1"/>
  <c r="E196"/>
  <c r="I196" s="1"/>
  <c r="E197"/>
  <c r="I197" s="1"/>
  <c r="E198"/>
  <c r="I198" s="1"/>
  <c r="E199"/>
  <c r="I199" s="1"/>
  <c r="E200"/>
  <c r="I200" s="1"/>
  <c r="E201"/>
  <c r="I201" s="1"/>
  <c r="E202"/>
  <c r="I202" s="1"/>
  <c r="E203"/>
  <c r="I203" s="1"/>
  <c r="E204"/>
  <c r="I204" s="1"/>
  <c r="E205"/>
  <c r="I205" s="1"/>
  <c r="E206"/>
  <c r="I206" s="1"/>
  <c r="E207"/>
  <c r="I207" s="1"/>
  <c r="E208"/>
  <c r="I208" s="1"/>
  <c r="E209"/>
  <c r="I209" s="1"/>
  <c r="E210"/>
  <c r="I210" s="1"/>
  <c r="E211"/>
  <c r="I211" s="1"/>
  <c r="E212"/>
  <c r="I212" s="1"/>
  <c r="E213"/>
  <c r="I213" s="1"/>
  <c r="E214"/>
  <c r="I214" s="1"/>
  <c r="E215"/>
  <c r="I215" s="1"/>
  <c r="E216"/>
  <c r="I216" s="1"/>
  <c r="E217"/>
  <c r="I217" s="1"/>
  <c r="E218"/>
  <c r="I218" s="1"/>
  <c r="E219"/>
  <c r="I219" s="1"/>
  <c r="E220"/>
  <c r="I220" s="1"/>
  <c r="E221"/>
  <c r="I221" s="1"/>
  <c r="E222"/>
  <c r="I222" s="1"/>
  <c r="E223"/>
  <c r="I223" s="1"/>
  <c r="E224"/>
  <c r="I224" s="1"/>
  <c r="E225"/>
  <c r="I225" s="1"/>
  <c r="E226"/>
  <c r="I226" s="1"/>
  <c r="E227"/>
  <c r="I227" s="1"/>
  <c r="E228"/>
  <c r="I228" s="1"/>
  <c r="E229"/>
  <c r="I229" s="1"/>
  <c r="E230"/>
  <c r="I230" s="1"/>
  <c r="E231"/>
  <c r="I231" s="1"/>
  <c r="E232"/>
  <c r="I232" s="1"/>
  <c r="E233"/>
  <c r="I233" s="1"/>
  <c r="E234"/>
  <c r="I234" s="1"/>
  <c r="E235"/>
  <c r="I235" s="1"/>
  <c r="E236"/>
  <c r="I236" s="1"/>
  <c r="E237"/>
  <c r="I237" s="1"/>
  <c r="E238"/>
  <c r="I238" s="1"/>
  <c r="E239"/>
  <c r="I239" s="1"/>
  <c r="E240"/>
  <c r="I240" s="1"/>
  <c r="E241"/>
  <c r="I241" s="1"/>
  <c r="E242"/>
  <c r="I242" s="1"/>
  <c r="E243"/>
  <c r="I243" s="1"/>
  <c r="E244"/>
  <c r="I244" s="1"/>
  <c r="E245"/>
  <c r="I245" s="1"/>
  <c r="E246"/>
  <c r="I246" s="1"/>
  <c r="E247"/>
  <c r="I247" s="1"/>
  <c r="E248"/>
  <c r="I248" s="1"/>
  <c r="E249"/>
  <c r="I249" s="1"/>
  <c r="E250"/>
  <c r="I250" s="1"/>
  <c r="E251"/>
  <c r="I251" s="1"/>
  <c r="E252"/>
  <c r="I252" s="1"/>
  <c r="E253"/>
  <c r="I253" s="1"/>
  <c r="E254"/>
  <c r="I254" s="1"/>
  <c r="E255"/>
  <c r="I255" s="1"/>
  <c r="E256"/>
  <c r="I256" s="1"/>
  <c r="E257"/>
  <c r="I257" s="1"/>
  <c r="E258"/>
  <c r="I258" s="1"/>
  <c r="E259"/>
  <c r="I259" s="1"/>
  <c r="E260"/>
  <c r="I260" s="1"/>
  <c r="E261"/>
  <c r="I261" s="1"/>
  <c r="E262"/>
  <c r="I262" s="1"/>
  <c r="E263"/>
  <c r="I263" s="1"/>
  <c r="E264"/>
  <c r="I264" s="1"/>
  <c r="E265"/>
  <c r="I265" s="1"/>
  <c r="E141"/>
  <c r="I141" s="1"/>
  <c r="E142"/>
  <c r="I142" s="1"/>
  <c r="E143"/>
  <c r="I143" s="1"/>
  <c r="E144"/>
  <c r="I144" s="1"/>
  <c r="E145"/>
  <c r="I145" s="1"/>
  <c r="E146"/>
  <c r="I146" s="1"/>
  <c r="E147"/>
  <c r="I147" s="1"/>
  <c r="E148"/>
  <c r="I148" s="1"/>
  <c r="E149"/>
  <c r="I149" s="1"/>
  <c r="E150"/>
  <c r="I150" s="1"/>
  <c r="E151"/>
  <c r="I151" s="1"/>
  <c r="E152"/>
  <c r="I152" s="1"/>
  <c r="E153"/>
  <c r="I153" s="1"/>
  <c r="E154"/>
  <c r="I154" s="1"/>
  <c r="E96"/>
  <c r="I96" s="1"/>
  <c r="E97"/>
  <c r="I97" s="1"/>
  <c r="E98"/>
  <c r="I98" s="1"/>
  <c r="E99"/>
  <c r="I99" s="1"/>
  <c r="E100"/>
  <c r="I100" s="1"/>
  <c r="E101"/>
  <c r="I101" s="1"/>
  <c r="E102"/>
  <c r="I102" s="1"/>
  <c r="E103"/>
  <c r="I103" s="1"/>
  <c r="E104"/>
  <c r="I104" s="1"/>
  <c r="E105"/>
  <c r="I105" s="1"/>
  <c r="E106"/>
  <c r="I106" s="1"/>
  <c r="E107"/>
  <c r="I107" s="1"/>
  <c r="E108"/>
  <c r="I108" s="1"/>
  <c r="E109"/>
  <c r="I109" s="1"/>
  <c r="E110"/>
  <c r="I110" s="1"/>
  <c r="E111"/>
  <c r="I111" s="1"/>
  <c r="E112"/>
  <c r="I112" s="1"/>
  <c r="E113"/>
  <c r="I113" s="1"/>
  <c r="E114"/>
  <c r="I114" s="1"/>
  <c r="E115"/>
  <c r="I115" s="1"/>
  <c r="E136"/>
  <c r="I136" s="1"/>
  <c r="E137"/>
  <c r="I137" s="1"/>
  <c r="E138"/>
  <c r="I138" s="1"/>
  <c r="E139"/>
  <c r="I139" s="1"/>
  <c r="E140"/>
  <c r="I140" s="1"/>
  <c r="E2"/>
  <c r="I2" s="1"/>
  <c r="E3"/>
  <c r="I3" s="1"/>
  <c r="E4"/>
  <c r="I4" s="1"/>
  <c r="E5"/>
  <c r="I5" s="1"/>
  <c r="E6"/>
  <c r="I6" s="1"/>
  <c r="E7"/>
  <c r="I7" s="1"/>
  <c r="E8"/>
  <c r="I8" s="1"/>
  <c r="E9"/>
  <c r="I9" s="1"/>
  <c r="E10"/>
  <c r="I10" s="1"/>
  <c r="E11"/>
  <c r="I11" s="1"/>
  <c r="E12"/>
  <c r="I12" s="1"/>
  <c r="E13"/>
  <c r="I13" s="1"/>
  <c r="E14"/>
  <c r="I14" s="1"/>
  <c r="E15"/>
  <c r="I15" s="1"/>
  <c r="E16"/>
  <c r="I16" s="1"/>
  <c r="E17"/>
  <c r="I17" s="1"/>
  <c r="E18"/>
  <c r="I18" s="1"/>
  <c r="E19"/>
  <c r="I19" s="1"/>
  <c r="E20"/>
  <c r="I20" s="1"/>
  <c r="E21"/>
  <c r="I21" s="1"/>
  <c r="E22"/>
  <c r="I22" s="1"/>
  <c r="E23"/>
  <c r="I23" s="1"/>
  <c r="E24"/>
  <c r="I24" s="1"/>
  <c r="E25"/>
  <c r="I25" s="1"/>
  <c r="E26"/>
  <c r="I26" s="1"/>
  <c r="E27"/>
  <c r="I27" s="1"/>
  <c r="E28"/>
  <c r="I28" s="1"/>
  <c r="E29"/>
  <c r="I29" s="1"/>
  <c r="E30"/>
  <c r="I30" s="1"/>
  <c r="E31"/>
  <c r="I31" s="1"/>
  <c r="E32"/>
  <c r="I32" s="1"/>
  <c r="E33"/>
  <c r="I33" s="1"/>
  <c r="E34"/>
  <c r="I34" s="1"/>
  <c r="E35"/>
  <c r="I35" s="1"/>
  <c r="E36"/>
  <c r="I36" s="1"/>
  <c r="E37"/>
  <c r="I37" s="1"/>
  <c r="E38"/>
  <c r="I38" s="1"/>
  <c r="E39"/>
  <c r="I39" s="1"/>
  <c r="E40"/>
  <c r="I40" s="1"/>
  <c r="E41"/>
  <c r="I41" s="1"/>
  <c r="E42"/>
  <c r="I42" s="1"/>
  <c r="E43"/>
  <c r="I43" s="1"/>
  <c r="E44"/>
  <c r="I44" s="1"/>
  <c r="E45"/>
  <c r="I45" s="1"/>
  <c r="E46"/>
  <c r="I46" s="1"/>
  <c r="E47"/>
  <c r="I47" s="1"/>
  <c r="E48"/>
  <c r="I48" s="1"/>
  <c r="E49"/>
  <c r="I49" s="1"/>
  <c r="E50"/>
  <c r="I50" s="1"/>
  <c r="E51"/>
  <c r="I51" s="1"/>
  <c r="E52"/>
  <c r="I52" s="1"/>
  <c r="E53"/>
  <c r="I53" s="1"/>
  <c r="E54"/>
  <c r="I54" s="1"/>
  <c r="E55"/>
  <c r="I55" s="1"/>
  <c r="E56"/>
  <c r="I56" s="1"/>
  <c r="E57"/>
  <c r="I57" s="1"/>
  <c r="E58"/>
  <c r="I58" s="1"/>
  <c r="E59"/>
  <c r="I59" s="1"/>
  <c r="E60"/>
  <c r="I60" s="1"/>
  <c r="E61"/>
  <c r="I61" s="1"/>
  <c r="E62"/>
  <c r="I62" s="1"/>
  <c r="E63"/>
  <c r="I63" s="1"/>
  <c r="E64"/>
  <c r="I64" s="1"/>
  <c r="E65"/>
  <c r="I65" s="1"/>
  <c r="E66"/>
  <c r="I66" s="1"/>
  <c r="E67"/>
  <c r="I67" s="1"/>
  <c r="E68"/>
  <c r="I68" s="1"/>
  <c r="E69"/>
  <c r="I69" s="1"/>
  <c r="E70"/>
  <c r="I70" s="1"/>
  <c r="E71"/>
  <c r="I71" s="1"/>
  <c r="E72"/>
  <c r="I72" s="1"/>
  <c r="E73"/>
  <c r="I73" s="1"/>
  <c r="E74"/>
  <c r="I74" s="1"/>
  <c r="E75"/>
  <c r="I75" s="1"/>
  <c r="E76"/>
  <c r="I76" s="1"/>
  <c r="E77"/>
  <c r="I77" s="1"/>
  <c r="E78"/>
  <c r="I78" s="1"/>
  <c r="E79"/>
  <c r="I79" s="1"/>
  <c r="E80"/>
  <c r="I80" s="1"/>
  <c r="E81"/>
  <c r="I81" s="1"/>
  <c r="E82"/>
  <c r="I82" s="1"/>
  <c r="E83"/>
  <c r="I83" s="1"/>
  <c r="E84"/>
  <c r="I84" s="1"/>
  <c r="E85"/>
  <c r="I85" s="1"/>
  <c r="E86"/>
  <c r="I86" s="1"/>
  <c r="E87"/>
  <c r="I87" s="1"/>
  <c r="E88"/>
  <c r="I88" s="1"/>
  <c r="E89"/>
  <c r="I89" s="1"/>
  <c r="E90"/>
  <c r="I90" s="1"/>
  <c r="E91"/>
  <c r="I91" s="1"/>
  <c r="E92"/>
  <c r="I92" s="1"/>
  <c r="E93"/>
  <c r="I93" s="1"/>
  <c r="E94"/>
  <c r="I94" s="1"/>
  <c r="E95"/>
  <c r="I95" s="1"/>
</calcChain>
</file>

<file path=xl/sharedStrings.xml><?xml version="1.0" encoding="utf-8"?>
<sst xmlns="http://schemas.openxmlformats.org/spreadsheetml/2006/main" count="626" uniqueCount="336">
  <si>
    <t>Doz.</t>
  </si>
  <si>
    <t>Size In INCH</t>
  </si>
  <si>
    <t>Size In MM</t>
  </si>
  <si>
    <t>Doz. Weight</t>
  </si>
  <si>
    <t>3 x 7/8 x 1/8</t>
  </si>
  <si>
    <t>75*22*3</t>
  </si>
  <si>
    <t>4 x 7/8 x 1/8</t>
  </si>
  <si>
    <t>100*22*3</t>
  </si>
  <si>
    <t>3 x 1 x 1/8</t>
  </si>
  <si>
    <t>75*25*3</t>
  </si>
  <si>
    <t>4 x 1 x 1/8</t>
  </si>
  <si>
    <t>100*25*3</t>
  </si>
  <si>
    <t>5 x 1 x 1/8</t>
  </si>
  <si>
    <t>125*25*3</t>
  </si>
  <si>
    <t>6 x 1 x 1/8</t>
  </si>
  <si>
    <t>150*25*3</t>
  </si>
  <si>
    <t>4 x 1.1/8 x 1/8</t>
  </si>
  <si>
    <t>100*28*3</t>
  </si>
  <si>
    <t>5 x 1.1/8 x 1/8</t>
  </si>
  <si>
    <t>125*28*3</t>
  </si>
  <si>
    <t>6 x 1.1/8 x 1/8</t>
  </si>
  <si>
    <t>150*28*3</t>
  </si>
  <si>
    <t>4 x 1 x 5/32</t>
  </si>
  <si>
    <t>100*25*4</t>
  </si>
  <si>
    <t>5 x 1 x 5/32</t>
  </si>
  <si>
    <t>125*25*4</t>
  </si>
  <si>
    <t>6 x 1 x 5/32</t>
  </si>
  <si>
    <t>150*25*4</t>
  </si>
  <si>
    <t>4 x 1.1/8 x 5/32</t>
  </si>
  <si>
    <t>100*28*4</t>
  </si>
  <si>
    <t>5 x 1.1/8 x 5/32</t>
  </si>
  <si>
    <t>125*28*4</t>
  </si>
  <si>
    <t>6 x 1.1/8 x 5/32</t>
  </si>
  <si>
    <t>150*28*4</t>
  </si>
  <si>
    <t>4 x 1.1/4 x 5/32</t>
  </si>
  <si>
    <t>100*31*4</t>
  </si>
  <si>
    <t>5 x 1.1/4 x 5/32</t>
  </si>
  <si>
    <t>125*31*4</t>
  </si>
  <si>
    <t>6 x 1.1/4 x 5/32</t>
  </si>
  <si>
    <t>150*31*4</t>
  </si>
  <si>
    <t>8 x 1.1/4 x 5/32</t>
  </si>
  <si>
    <t>200*31*4</t>
  </si>
  <si>
    <t>4 x 1.1/4 x 3/16</t>
  </si>
  <si>
    <t>100*31*4.5</t>
  </si>
  <si>
    <t>5 x 1.1/4 x 3/16</t>
  </si>
  <si>
    <t>125*31*4.5</t>
  </si>
  <si>
    <t>6 x 1.1/4 x 3/16</t>
  </si>
  <si>
    <t>150*31*4.5</t>
  </si>
  <si>
    <t>8 x 1.1/4 x 3/16</t>
  </si>
  <si>
    <t>200*31*4.5</t>
  </si>
  <si>
    <t>4 x 1.1/2 x 3/16</t>
  </si>
  <si>
    <t>100*38*4.5</t>
  </si>
  <si>
    <t>5 x 1.1/2 x 3/16</t>
  </si>
  <si>
    <t>125*38*4.5</t>
  </si>
  <si>
    <t>6 x 1.1/2 x 3/16</t>
  </si>
  <si>
    <t>150*38*4.5</t>
  </si>
  <si>
    <t>8 x 1.1/2 x 3/16</t>
  </si>
  <si>
    <t>200*38*4.5</t>
  </si>
  <si>
    <t>4 x 3/8 x 6</t>
  </si>
  <si>
    <t>100*9*6</t>
  </si>
  <si>
    <t>4 x 3/8 x 12</t>
  </si>
  <si>
    <t>100*9*12</t>
  </si>
  <si>
    <t>4 x 3/8 x 19</t>
  </si>
  <si>
    <t>100*9*19</t>
  </si>
  <si>
    <t>4 x 3/8 x 25</t>
  </si>
  <si>
    <t>100*9*25</t>
  </si>
  <si>
    <t>4 x 1/2 x 6</t>
  </si>
  <si>
    <t>100*12*6</t>
  </si>
  <si>
    <t>4 x 1/2 x 12</t>
  </si>
  <si>
    <t>100*12*12</t>
  </si>
  <si>
    <t>4 x 1/2 x 19</t>
  </si>
  <si>
    <t>100*12*19</t>
  </si>
  <si>
    <t>4 x 1/2 x 25</t>
  </si>
  <si>
    <t>100*12*25</t>
  </si>
  <si>
    <t>4 x 5/8 x 6</t>
  </si>
  <si>
    <t>100*16*6</t>
  </si>
  <si>
    <t>4 x 5/8 x 12</t>
  </si>
  <si>
    <t>100*16*12</t>
  </si>
  <si>
    <t>4 x 5/8 x 19</t>
  </si>
  <si>
    <t>100*16*19</t>
  </si>
  <si>
    <t>4 x 3/4 x 6</t>
  </si>
  <si>
    <t>100*19*6</t>
  </si>
  <si>
    <t>4 x 3/4 x 12</t>
  </si>
  <si>
    <t>100*19*12</t>
  </si>
  <si>
    <t>4 x 3/4 x 19</t>
  </si>
  <si>
    <t>100*19*19</t>
  </si>
  <si>
    <t>4 x 3/4 x 25</t>
  </si>
  <si>
    <t>100*19*25</t>
  </si>
  <si>
    <t>4 x 1 x 6</t>
  </si>
  <si>
    <t>100*25*6</t>
  </si>
  <si>
    <t>4 x 1 x 12</t>
  </si>
  <si>
    <t>100*25*12</t>
  </si>
  <si>
    <t>4 x 1 x 19</t>
  </si>
  <si>
    <t>100*25*19</t>
  </si>
  <si>
    <t>4 x 1 x 25</t>
  </si>
  <si>
    <t>100*25*25</t>
  </si>
  <si>
    <t>3 x 3/8 x 6</t>
  </si>
  <si>
    <t>75*9*6</t>
  </si>
  <si>
    <t>3 x 3/8 x 12</t>
  </si>
  <si>
    <t>75*9*12</t>
  </si>
  <si>
    <t>3 x 3/8 x 19</t>
  </si>
  <si>
    <t>75*9*19</t>
  </si>
  <si>
    <t>3 x 3/8 x 25</t>
  </si>
  <si>
    <t>75*9*25</t>
  </si>
  <si>
    <t>3 x 1/2 x 6</t>
  </si>
  <si>
    <t>75*12*6</t>
  </si>
  <si>
    <t>3 x 1/2 x 12</t>
  </si>
  <si>
    <t>75*12*12</t>
  </si>
  <si>
    <t>3 x 1/2 x 19</t>
  </si>
  <si>
    <t>75*12*19</t>
  </si>
  <si>
    <t>3 x 1/2 x 25</t>
  </si>
  <si>
    <t>75*12*25</t>
  </si>
  <si>
    <t>3 x 5/8 x 6</t>
  </si>
  <si>
    <t>75*16*6</t>
  </si>
  <si>
    <t>3 x 5/8 x 12</t>
  </si>
  <si>
    <t>75*16*12</t>
  </si>
  <si>
    <t>3 x 5/8 x 19</t>
  </si>
  <si>
    <t>75*16*19</t>
  </si>
  <si>
    <t>3 x 5/8 x 25</t>
  </si>
  <si>
    <t>75*16*25</t>
  </si>
  <si>
    <t>3 x 3/4 x 6</t>
  </si>
  <si>
    <t>75*19*6</t>
  </si>
  <si>
    <t>3 x 3/4 x 12</t>
  </si>
  <si>
    <t>75*19*12</t>
  </si>
  <si>
    <t>3 x 3/4 x 19</t>
  </si>
  <si>
    <t>75*19*19</t>
  </si>
  <si>
    <t>3 x 3/4 x 25</t>
  </si>
  <si>
    <t>75*19*25</t>
  </si>
  <si>
    <t>3 x 1 x 6</t>
  </si>
  <si>
    <t>75*25*6</t>
  </si>
  <si>
    <t>3 x 1 x 12</t>
  </si>
  <si>
    <t>75*25*12</t>
  </si>
  <si>
    <t>3 x 1 x 19</t>
  </si>
  <si>
    <t>75*25*19</t>
  </si>
  <si>
    <t>3 x 1 x 25</t>
  </si>
  <si>
    <t>75*25*25</t>
  </si>
  <si>
    <t>3 x 1/2 x 1/2</t>
  </si>
  <si>
    <t>4 x 1/2 x 1/2</t>
  </si>
  <si>
    <t>3 x 3/8 x 5/8</t>
  </si>
  <si>
    <t>75*9*16</t>
  </si>
  <si>
    <t>4 x 3/8 x 5/8</t>
  </si>
  <si>
    <t>100*9*16</t>
  </si>
  <si>
    <t>3 x 5/8 x 5/8</t>
  </si>
  <si>
    <t>75*16*16</t>
  </si>
  <si>
    <t>4 x 5/8 x 5/8</t>
  </si>
  <si>
    <t>100*16*16</t>
  </si>
  <si>
    <t>3 x 1/2 x 3/4</t>
  </si>
  <si>
    <t>4 x 1/2 x 3/4</t>
  </si>
  <si>
    <t>3 x 3/8 x 1</t>
  </si>
  <si>
    <t>4 x 3/8 x 1</t>
  </si>
  <si>
    <t>3 x 3/4 x 3/4</t>
  </si>
  <si>
    <t>4 x 3/4 x 3/4</t>
  </si>
  <si>
    <t>3 x 1/2 x 1</t>
  </si>
  <si>
    <t>4 x 1/2 x 1</t>
  </si>
  <si>
    <t>3 x 7/8 x 7/8</t>
  </si>
  <si>
    <t>75*22*22</t>
  </si>
  <si>
    <t>4 x 7/8 x 7/8</t>
  </si>
  <si>
    <t>100*22*22</t>
  </si>
  <si>
    <t>3 x 3/4 x 1</t>
  </si>
  <si>
    <t>4 x 3/4 x 1</t>
  </si>
  <si>
    <t>3 x 1 x 1</t>
  </si>
  <si>
    <t>4 x 1 x 1</t>
  </si>
  <si>
    <t>3 x 1/2 x 1.1/2</t>
  </si>
  <si>
    <t>75*12*38</t>
  </si>
  <si>
    <t>4 x 1/2 x 1.1/2</t>
  </si>
  <si>
    <t>100*12*38</t>
  </si>
  <si>
    <t>3 x 3/4 x 1.1/2</t>
  </si>
  <si>
    <t>75*19*38</t>
  </si>
  <si>
    <t>4 x 3/4 x 1.1/2</t>
  </si>
  <si>
    <t>100*19*38</t>
  </si>
  <si>
    <t>3 x 3/8 x 1.1/2</t>
  </si>
  <si>
    <t>75*9*38</t>
  </si>
  <si>
    <t>4 x 3/8 x 1.1/2</t>
  </si>
  <si>
    <t>100*9*38</t>
  </si>
  <si>
    <t>3"</t>
  </si>
  <si>
    <t>4"</t>
  </si>
  <si>
    <t>10 x 1.1/4 x 3/16</t>
  </si>
  <si>
    <t>12 x 1.1/4 x 3/16</t>
  </si>
  <si>
    <t>18 x 1.1/4 x 3/16</t>
  </si>
  <si>
    <t>250*31*4.5</t>
  </si>
  <si>
    <t>300*31*4.5</t>
  </si>
  <si>
    <t>450*31*4.5</t>
  </si>
  <si>
    <t>10 x 1.1/2 x 3/16</t>
  </si>
  <si>
    <t>12 x 1.1/2 x 3/16</t>
  </si>
  <si>
    <t>18 x 1.1/2 x 3/16</t>
  </si>
  <si>
    <t>250*38*4.5</t>
  </si>
  <si>
    <t>300*38*4.5</t>
  </si>
  <si>
    <t>450*38*4.5</t>
  </si>
  <si>
    <t>4 x 2 x 3/16</t>
  </si>
  <si>
    <t>5 x 2 x 3/16</t>
  </si>
  <si>
    <t>6 x 2 x 3/16</t>
  </si>
  <si>
    <t>8 x 2 x 3/16</t>
  </si>
  <si>
    <t>10 x 2 x 3/16</t>
  </si>
  <si>
    <t>12 x 2 x 3/16</t>
  </si>
  <si>
    <t>18 x 2 x 3/16</t>
  </si>
  <si>
    <t>100*50*4.5</t>
  </si>
  <si>
    <t>125*50*4.5</t>
  </si>
  <si>
    <t>150*50*4.5</t>
  </si>
  <si>
    <t>200*50*4.5</t>
  </si>
  <si>
    <t>250*50*4.5</t>
  </si>
  <si>
    <t>300*50*4.5</t>
  </si>
  <si>
    <t>450*50*4.5</t>
  </si>
  <si>
    <t>5 x 1.1/4 x 6mm</t>
  </si>
  <si>
    <t>6 x 1.1/4 x 6mm</t>
  </si>
  <si>
    <t>8 x 1.1/4 x 6mm</t>
  </si>
  <si>
    <t>10 x 1.1/4 x 6mm</t>
  </si>
  <si>
    <t>12 x 1.1/4 x 6mm</t>
  </si>
  <si>
    <t>18 x 1.1/4 x 6mm</t>
  </si>
  <si>
    <t>125*31*6</t>
  </si>
  <si>
    <t>150*31*6</t>
  </si>
  <si>
    <t>200*31*6</t>
  </si>
  <si>
    <t>250*31*6</t>
  </si>
  <si>
    <t>300*31*6</t>
  </si>
  <si>
    <t>450*31*6</t>
  </si>
  <si>
    <t>5 x 1.1/2 x 6mm</t>
  </si>
  <si>
    <t>125*38*6</t>
  </si>
  <si>
    <t>6 x 1.1/2 x 6mm</t>
  </si>
  <si>
    <t>150*38*6</t>
  </si>
  <si>
    <t>8 x 1.1/2 x 6mm</t>
  </si>
  <si>
    <t>200*38*6</t>
  </si>
  <si>
    <t>10 x 1.1/2 x 6mm</t>
  </si>
  <si>
    <t>250*38*6</t>
  </si>
  <si>
    <t>12 x 1.1/2 x 6mm</t>
  </si>
  <si>
    <t>300*38*6</t>
  </si>
  <si>
    <t>18 x 1.1/2 x 6mm</t>
  </si>
  <si>
    <t>450*38*6</t>
  </si>
  <si>
    <t>5 x 2 x 6mm</t>
  </si>
  <si>
    <t>125*50*6</t>
  </si>
  <si>
    <t>6 x 2 x 6mm</t>
  </si>
  <si>
    <t>150*50*6</t>
  </si>
  <si>
    <t>8 x 2 x 6mm</t>
  </si>
  <si>
    <t>200*50*6</t>
  </si>
  <si>
    <t>10 x 2 x 6mm</t>
  </si>
  <si>
    <t>250*50*6</t>
  </si>
  <si>
    <t>12 x 2 x 6mm</t>
  </si>
  <si>
    <t>300*50*6</t>
  </si>
  <si>
    <t>18 x 2 x 6mm</t>
  </si>
  <si>
    <t>450*50*6</t>
  </si>
  <si>
    <t>Parliament</t>
  </si>
  <si>
    <t>3 x 3</t>
  </si>
  <si>
    <t>75 x 75</t>
  </si>
  <si>
    <t>4 x 2</t>
  </si>
  <si>
    <t>100 x 50</t>
  </si>
  <si>
    <t>4 x 3</t>
  </si>
  <si>
    <t>100 x 75</t>
  </si>
  <si>
    <t>4 x 4</t>
  </si>
  <si>
    <t>100 x 100</t>
  </si>
  <si>
    <t>4 x 5</t>
  </si>
  <si>
    <t>100 x 125</t>
  </si>
  <si>
    <t>4 x 6</t>
  </si>
  <si>
    <t>100 x 150</t>
  </si>
  <si>
    <t>5 x 3</t>
  </si>
  <si>
    <t>125 x 75</t>
  </si>
  <si>
    <t>5 x 4</t>
  </si>
  <si>
    <t>125 x 100</t>
  </si>
  <si>
    <t>5 x 5</t>
  </si>
  <si>
    <t>125 x 125</t>
  </si>
  <si>
    <t>5 x 6</t>
  </si>
  <si>
    <t>125 x 150</t>
  </si>
  <si>
    <t>5 x 8</t>
  </si>
  <si>
    <t>125 x 200</t>
  </si>
  <si>
    <t>6 x 4</t>
  </si>
  <si>
    <t>150 x 100</t>
  </si>
  <si>
    <t>6 x 5</t>
  </si>
  <si>
    <t>150 x 125</t>
  </si>
  <si>
    <t>6 x 6</t>
  </si>
  <si>
    <t xml:space="preserve">150 x 150 </t>
  </si>
  <si>
    <t>9mm</t>
  </si>
  <si>
    <t>12mm</t>
  </si>
  <si>
    <t>16mm</t>
  </si>
  <si>
    <t>6"</t>
  </si>
  <si>
    <t>8"</t>
  </si>
  <si>
    <t>10"</t>
  </si>
  <si>
    <t>12"</t>
  </si>
  <si>
    <t>15"</t>
  </si>
  <si>
    <t>18"</t>
  </si>
  <si>
    <t>24"</t>
  </si>
  <si>
    <t>30"</t>
  </si>
  <si>
    <t>36"</t>
  </si>
  <si>
    <t>8mm</t>
  </si>
  <si>
    <t>10mm</t>
  </si>
  <si>
    <t>Super Marble</t>
  </si>
  <si>
    <t>Crank</t>
  </si>
  <si>
    <t>Butt - 3"</t>
  </si>
  <si>
    <t>Butt - 4"</t>
  </si>
  <si>
    <t>PCS Weight</t>
  </si>
  <si>
    <t>L - 3" (2mm)</t>
  </si>
  <si>
    <t>L - 4" (2mm)</t>
  </si>
  <si>
    <t>Xylo - 8mm (Audi)</t>
  </si>
  <si>
    <t>Xylo - 10mm (Audi)</t>
  </si>
  <si>
    <t>Xylo - 12mm (Audi)</t>
  </si>
  <si>
    <t xml:space="preserve">Box / Pcs </t>
  </si>
  <si>
    <r>
      <t xml:space="preserve">Round - 16mm </t>
    </r>
    <r>
      <rPr>
        <b/>
        <sz val="14"/>
        <color rgb="FFFF0000"/>
        <rFont val="Calibri"/>
        <family val="2"/>
        <scheme val="minor"/>
      </rPr>
      <t>(1PC)</t>
    </r>
  </si>
  <si>
    <r>
      <t xml:space="preserve">Round - 12mm </t>
    </r>
    <r>
      <rPr>
        <b/>
        <sz val="14"/>
        <color rgb="FFFF0000"/>
        <rFont val="Calibri"/>
        <family val="2"/>
        <scheme val="minor"/>
      </rPr>
      <t>(1PC)</t>
    </r>
  </si>
  <si>
    <r>
      <t xml:space="preserve">Round -          9mm     </t>
    </r>
    <r>
      <rPr>
        <b/>
        <sz val="14"/>
        <color rgb="FFFF0000"/>
        <rFont val="Calibri"/>
        <family val="2"/>
        <scheme val="minor"/>
      </rPr>
      <t>(1PC)</t>
    </r>
  </si>
  <si>
    <r>
      <t xml:space="preserve">Round - 16mm </t>
    </r>
    <r>
      <rPr>
        <b/>
        <sz val="14"/>
        <color rgb="FFFF0000"/>
        <rFont val="Calibri"/>
        <family val="2"/>
        <scheme val="minor"/>
      </rPr>
      <t>(2PC)</t>
    </r>
  </si>
  <si>
    <r>
      <t xml:space="preserve">Round - 12mm </t>
    </r>
    <r>
      <rPr>
        <b/>
        <sz val="14"/>
        <color rgb="FFFF0000"/>
        <rFont val="Calibri"/>
        <family val="2"/>
        <scheme val="minor"/>
      </rPr>
      <t>(2PC)</t>
    </r>
  </si>
  <si>
    <r>
      <t xml:space="preserve">Round - 9mm      </t>
    </r>
    <r>
      <rPr>
        <b/>
        <sz val="14"/>
        <color rgb="FFFF0000"/>
        <rFont val="Calibri"/>
        <family val="2"/>
        <scheme val="minor"/>
      </rPr>
      <t>(2PC)</t>
    </r>
  </si>
  <si>
    <t>Box / Cartoon</t>
  </si>
  <si>
    <t>Total Pcs / Cartoon</t>
  </si>
  <si>
    <t>Total Cartoon Weight</t>
  </si>
  <si>
    <t>S.S.</t>
  </si>
  <si>
    <t>Antq.</t>
  </si>
  <si>
    <t>Side Gold</t>
  </si>
  <si>
    <t>Sartin Lacqur</t>
  </si>
  <si>
    <t>Z Black</t>
  </si>
  <si>
    <t>Gr. Black</t>
  </si>
  <si>
    <t>Matt S.S.</t>
  </si>
  <si>
    <t>Matt Antq.</t>
  </si>
  <si>
    <t>PVD Rose Gold</t>
  </si>
  <si>
    <t>PVD Gold</t>
  </si>
  <si>
    <t>PVD Black</t>
  </si>
  <si>
    <t>Rose Gold</t>
  </si>
  <si>
    <t>Clear Lacqur</t>
  </si>
  <si>
    <t>Lock - 3" (2mm)</t>
  </si>
  <si>
    <t>Lock - 4" (2mm)</t>
  </si>
  <si>
    <t>3 x 7/8 x 5/32</t>
  </si>
  <si>
    <t>4 x 7/8 x 5/32</t>
  </si>
  <si>
    <t>5 x 7/8 x 5/32</t>
  </si>
  <si>
    <t>75*22*4</t>
  </si>
  <si>
    <t>100*22*4</t>
  </si>
  <si>
    <t>125*22*4</t>
  </si>
  <si>
    <r>
      <t>3 x 1 x 1/8</t>
    </r>
    <r>
      <rPr>
        <b/>
        <sz val="12"/>
        <color theme="1"/>
        <rFont val="Calibri"/>
        <family val="2"/>
        <scheme val="minor"/>
      </rPr>
      <t xml:space="preserve"> (HV)</t>
    </r>
  </si>
  <si>
    <r>
      <t>4 x 1 x 1/8</t>
    </r>
    <r>
      <rPr>
        <b/>
        <sz val="12"/>
        <color theme="1"/>
        <rFont val="Calibri"/>
        <family val="2"/>
        <scheme val="minor"/>
      </rPr>
      <t xml:space="preserve"> (HV)</t>
    </r>
  </si>
  <si>
    <r>
      <t>5 x 1 x 1/8</t>
    </r>
    <r>
      <rPr>
        <b/>
        <sz val="12"/>
        <color theme="1"/>
        <rFont val="Calibri"/>
        <family val="2"/>
        <scheme val="minor"/>
      </rPr>
      <t xml:space="preserve"> (HV)</t>
    </r>
  </si>
  <si>
    <r>
      <t>6 x 1 x 1/8</t>
    </r>
    <r>
      <rPr>
        <b/>
        <sz val="12"/>
        <color theme="1"/>
        <rFont val="Calibri"/>
        <family val="2"/>
        <scheme val="minor"/>
      </rPr>
      <t xml:space="preserve"> (HV)</t>
    </r>
  </si>
  <si>
    <r>
      <t>75*25*3</t>
    </r>
    <r>
      <rPr>
        <b/>
        <sz val="12"/>
        <color theme="1"/>
        <rFont val="Calibri"/>
        <family val="2"/>
        <scheme val="minor"/>
      </rPr>
      <t xml:space="preserve"> (HV)</t>
    </r>
  </si>
  <si>
    <r>
      <t>100*25*3</t>
    </r>
    <r>
      <rPr>
        <b/>
        <sz val="12"/>
        <color theme="1"/>
        <rFont val="Calibri"/>
        <family val="2"/>
        <scheme val="minor"/>
      </rPr>
      <t xml:space="preserve"> (HV)</t>
    </r>
  </si>
  <si>
    <r>
      <t>125*25*3</t>
    </r>
    <r>
      <rPr>
        <b/>
        <sz val="12"/>
        <color theme="1"/>
        <rFont val="Calibri"/>
        <family val="2"/>
        <scheme val="minor"/>
      </rPr>
      <t xml:space="preserve"> (HV)</t>
    </r>
  </si>
  <si>
    <r>
      <t>150*25*3</t>
    </r>
    <r>
      <rPr>
        <b/>
        <sz val="12"/>
        <color theme="1"/>
        <rFont val="Calibri"/>
        <family val="2"/>
        <scheme val="minor"/>
      </rPr>
      <t xml:space="preserve"> (HV)</t>
    </r>
  </si>
  <si>
    <r>
      <t>4 x 1.1/8 x 1/8</t>
    </r>
    <r>
      <rPr>
        <b/>
        <sz val="12"/>
        <color theme="1"/>
        <rFont val="Calibri"/>
        <family val="2"/>
        <scheme val="minor"/>
      </rPr>
      <t xml:space="preserve"> (HV)</t>
    </r>
  </si>
  <si>
    <r>
      <t>5 x 1.1/8 x 1/8</t>
    </r>
    <r>
      <rPr>
        <b/>
        <sz val="12"/>
        <color theme="1"/>
        <rFont val="Calibri"/>
        <family val="2"/>
        <scheme val="minor"/>
      </rPr>
      <t xml:space="preserve"> (HV)</t>
    </r>
  </si>
  <si>
    <r>
      <t>6 x 1.1/8 x 1/8</t>
    </r>
    <r>
      <rPr>
        <b/>
        <sz val="12"/>
        <color theme="1"/>
        <rFont val="Calibri"/>
        <family val="2"/>
        <scheme val="minor"/>
      </rPr>
      <t xml:space="preserve"> (HV)</t>
    </r>
  </si>
  <si>
    <r>
      <t>100*28*3</t>
    </r>
    <r>
      <rPr>
        <b/>
        <sz val="12"/>
        <color theme="1"/>
        <rFont val="Calibri"/>
        <family val="2"/>
        <scheme val="minor"/>
      </rPr>
      <t xml:space="preserve"> (HV)</t>
    </r>
  </si>
  <si>
    <r>
      <t>125*28*3</t>
    </r>
    <r>
      <rPr>
        <b/>
        <sz val="12"/>
        <color theme="1"/>
        <rFont val="Calibri"/>
        <family val="2"/>
        <scheme val="minor"/>
      </rPr>
      <t xml:space="preserve"> (HV)</t>
    </r>
  </si>
  <si>
    <r>
      <t>150*28*3</t>
    </r>
    <r>
      <rPr>
        <b/>
        <sz val="12"/>
        <color theme="1"/>
        <rFont val="Calibri"/>
        <family val="2"/>
        <scheme val="minor"/>
      </rPr>
      <t xml:space="preserve"> (HV)</t>
    </r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</si>
</sst>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164" fontId="2" fillId="0" borderId="6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 vertical="top"/>
    </xf>
    <xf numFmtId="164" fontId="3" fillId="0" borderId="6" xfId="0" applyNumberFormat="1" applyFont="1" applyBorder="1" applyAlignment="1">
      <alignment horizontal="center" vertical="top"/>
    </xf>
    <xf numFmtId="164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24" xfId="0" applyNumberFormat="1" applyFont="1" applyFill="1" applyBorder="1" applyAlignment="1">
      <alignment horizontal="center" vertical="center"/>
    </xf>
    <xf numFmtId="164" fontId="2" fillId="2" borderId="25" xfId="0" applyNumberFormat="1" applyFont="1" applyFill="1" applyBorder="1" applyAlignment="1">
      <alignment horizontal="center" vertical="center"/>
    </xf>
    <xf numFmtId="164" fontId="2" fillId="2" borderId="26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164" fontId="2" fillId="2" borderId="29" xfId="0" applyNumberFormat="1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2" xfId="0" applyFill="1" applyBorder="1"/>
    <xf numFmtId="0" fontId="0" fillId="2" borderId="10" xfId="0" applyFill="1" applyBorder="1"/>
    <xf numFmtId="0" fontId="0" fillId="0" borderId="5" xfId="0" applyBorder="1"/>
    <xf numFmtId="0" fontId="0" fillId="0" borderId="2" xfId="0" applyBorder="1"/>
    <xf numFmtId="0" fontId="0" fillId="0" borderId="10" xfId="0" applyBorder="1"/>
    <xf numFmtId="164" fontId="2" fillId="2" borderId="1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164" fontId="2" fillId="2" borderId="22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2" fillId="2" borderId="30" xfId="0" applyNumberFormat="1" applyFont="1" applyFill="1" applyBorder="1" applyAlignment="1">
      <alignment horizontal="center" vertical="center"/>
    </xf>
    <xf numFmtId="164" fontId="2" fillId="2" borderId="31" xfId="0" applyNumberFormat="1" applyFont="1" applyFill="1" applyBorder="1" applyAlignment="1">
      <alignment horizontal="center" vertical="center"/>
    </xf>
    <xf numFmtId="164" fontId="2" fillId="2" borderId="32" xfId="0" applyNumberFormat="1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4" fontId="2" fillId="2" borderId="36" xfId="0" applyNumberFormat="1" applyFont="1" applyFill="1" applyBorder="1" applyAlignment="1">
      <alignment horizontal="center" vertical="center"/>
    </xf>
    <xf numFmtId="164" fontId="2" fillId="2" borderId="2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164" fontId="1" fillId="0" borderId="19" xfId="0" applyNumberFormat="1" applyFont="1" applyBorder="1" applyAlignment="1">
      <alignment horizontal="center" vertical="center" wrapText="1"/>
    </xf>
    <xf numFmtId="164" fontId="1" fillId="0" borderId="18" xfId="0" applyNumberFormat="1" applyFont="1" applyBorder="1" applyAlignment="1">
      <alignment horizontal="center" vertical="center" wrapText="1"/>
    </xf>
    <xf numFmtId="164" fontId="1" fillId="0" borderId="20" xfId="0" applyNumberFormat="1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/>
    </xf>
    <xf numFmtId="164" fontId="2" fillId="0" borderId="38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02"/>
  <sheetViews>
    <sheetView tabSelected="1" topLeftCell="A289" workbookViewId="0">
      <selection activeCell="G303" sqref="G303"/>
    </sheetView>
  </sheetViews>
  <sheetFormatPr defaultRowHeight="15"/>
  <cols>
    <col min="1" max="1" width="14.28515625" customWidth="1"/>
    <col min="2" max="2" width="19.42578125" bestFit="1" customWidth="1"/>
    <col min="3" max="3" width="15.7109375" bestFit="1" customWidth="1"/>
    <col min="4" max="4" width="11.42578125" customWidth="1"/>
    <col min="5" max="5" width="10.7109375" customWidth="1"/>
    <col min="7" max="7" width="10" customWidth="1"/>
    <col min="8" max="8" width="10.42578125" customWidth="1"/>
    <col min="9" max="9" width="11.42578125" customWidth="1"/>
    <col min="10" max="10" width="5.28515625" bestFit="1" customWidth="1"/>
    <col min="11" max="11" width="7.5703125" bestFit="1" customWidth="1"/>
    <col min="12" max="12" width="7.5703125" customWidth="1"/>
    <col min="13" max="13" width="8.7109375" bestFit="1" customWidth="1"/>
    <col min="15" max="15" width="7.5703125" customWidth="1"/>
  </cols>
  <sheetData>
    <row r="1" spans="1:22" ht="57" thickBot="1">
      <c r="A1" s="17" t="s">
        <v>0</v>
      </c>
      <c r="B1" s="17" t="s">
        <v>1</v>
      </c>
      <c r="C1" s="17" t="s">
        <v>2</v>
      </c>
      <c r="D1" s="17" t="s">
        <v>3</v>
      </c>
      <c r="E1" s="37" t="s">
        <v>285</v>
      </c>
      <c r="F1" s="37" t="s">
        <v>291</v>
      </c>
      <c r="G1" s="37" t="s">
        <v>298</v>
      </c>
      <c r="H1" s="37" t="s">
        <v>299</v>
      </c>
      <c r="I1" s="37" t="s">
        <v>300</v>
      </c>
      <c r="J1" s="37" t="s">
        <v>301</v>
      </c>
      <c r="K1" s="37" t="s">
        <v>302</v>
      </c>
      <c r="L1" s="37" t="s">
        <v>303</v>
      </c>
      <c r="M1" s="37" t="s">
        <v>304</v>
      </c>
      <c r="N1" s="37" t="s">
        <v>305</v>
      </c>
      <c r="O1" s="37" t="s">
        <v>306</v>
      </c>
      <c r="P1" s="37" t="s">
        <v>307</v>
      </c>
      <c r="Q1" s="37" t="s">
        <v>308</v>
      </c>
      <c r="R1" s="37" t="s">
        <v>309</v>
      </c>
      <c r="S1" s="37" t="s">
        <v>310</v>
      </c>
      <c r="T1" s="37" t="s">
        <v>311</v>
      </c>
      <c r="U1" s="37" t="s">
        <v>312</v>
      </c>
      <c r="V1" s="37" t="s">
        <v>313</v>
      </c>
    </row>
    <row r="2" spans="1:22" ht="15.6" customHeight="1">
      <c r="A2" s="70">
        <v>1.1499999999999999</v>
      </c>
      <c r="B2" s="7" t="s">
        <v>4</v>
      </c>
      <c r="C2" s="7" t="s">
        <v>5</v>
      </c>
      <c r="D2" s="8">
        <v>1.1499999999999999</v>
      </c>
      <c r="E2" s="39">
        <f t="shared" ref="E2:E34" si="0">D2/12</f>
        <v>9.5833333333333326E-2</v>
      </c>
      <c r="F2" s="67">
        <v>24</v>
      </c>
      <c r="G2" s="68">
        <v>16</v>
      </c>
      <c r="H2" s="67">
        <f t="shared" ref="H2:H34" si="1">G2*F2</f>
        <v>384</v>
      </c>
      <c r="I2" s="69">
        <f t="shared" ref="I2:I34" si="2">H2*E2</f>
        <v>36.799999999999997</v>
      </c>
    </row>
    <row r="3" spans="1:22" ht="15.75" customHeight="1">
      <c r="A3" s="71"/>
      <c r="B3" s="5" t="s">
        <v>6</v>
      </c>
      <c r="C3" s="5" t="s">
        <v>7</v>
      </c>
      <c r="D3" s="1">
        <v>1.55</v>
      </c>
      <c r="E3" s="40">
        <f t="shared" si="0"/>
        <v>0.12916666666666668</v>
      </c>
      <c r="F3" s="67">
        <v>20</v>
      </c>
      <c r="G3" s="68">
        <v>12</v>
      </c>
      <c r="H3" s="67">
        <f t="shared" si="1"/>
        <v>240</v>
      </c>
      <c r="I3" s="69">
        <f t="shared" si="2"/>
        <v>31.000000000000004</v>
      </c>
    </row>
    <row r="4" spans="1:22" ht="15.75" customHeight="1">
      <c r="A4" s="71">
        <v>1.45</v>
      </c>
      <c r="B4" s="5" t="s">
        <v>316</v>
      </c>
      <c r="C4" s="5" t="s">
        <v>319</v>
      </c>
      <c r="D4" s="1">
        <v>1.45</v>
      </c>
      <c r="E4" s="40">
        <f t="shared" si="0"/>
        <v>0.12083333333333333</v>
      </c>
      <c r="F4" s="67">
        <v>20</v>
      </c>
      <c r="G4" s="68">
        <v>16</v>
      </c>
      <c r="H4" s="67">
        <f t="shared" si="1"/>
        <v>320</v>
      </c>
      <c r="I4" s="69">
        <f t="shared" si="2"/>
        <v>38.666666666666664</v>
      </c>
    </row>
    <row r="5" spans="1:22" ht="15.75">
      <c r="A5" s="71"/>
      <c r="B5" s="5" t="s">
        <v>317</v>
      </c>
      <c r="C5" s="5" t="s">
        <v>320</v>
      </c>
      <c r="D5" s="1">
        <v>1.9</v>
      </c>
      <c r="E5" s="40">
        <f t="shared" si="0"/>
        <v>0.15833333333333333</v>
      </c>
      <c r="F5" s="67">
        <v>20</v>
      </c>
      <c r="G5" s="68">
        <v>12</v>
      </c>
      <c r="H5" s="67">
        <f t="shared" si="1"/>
        <v>240</v>
      </c>
      <c r="I5" s="69">
        <f t="shared" si="2"/>
        <v>38</v>
      </c>
    </row>
    <row r="6" spans="1:22" ht="16.5" thickBot="1">
      <c r="A6" s="72"/>
      <c r="B6" s="6" t="s">
        <v>318</v>
      </c>
      <c r="C6" s="6" t="s">
        <v>321</v>
      </c>
      <c r="D6" s="3">
        <v>2.4</v>
      </c>
      <c r="E6" s="41">
        <f t="shared" si="0"/>
        <v>0.19999999999999998</v>
      </c>
      <c r="F6" s="67">
        <v>6</v>
      </c>
      <c r="G6" s="68">
        <v>20</v>
      </c>
      <c r="H6" s="67">
        <f t="shared" si="1"/>
        <v>120</v>
      </c>
      <c r="I6" s="69">
        <f t="shared" si="2"/>
        <v>23.999999999999996</v>
      </c>
    </row>
    <row r="7" spans="1:22" ht="15.75" customHeight="1">
      <c r="A7" s="70">
        <v>2.5</v>
      </c>
      <c r="B7" s="7" t="s">
        <v>8</v>
      </c>
      <c r="C7" s="7" t="s">
        <v>9</v>
      </c>
      <c r="D7" s="9">
        <v>1.5</v>
      </c>
      <c r="E7" s="39">
        <f t="shared" si="0"/>
        <v>0.125</v>
      </c>
      <c r="F7" s="67">
        <v>16</v>
      </c>
      <c r="G7" s="68">
        <v>16</v>
      </c>
      <c r="H7" s="67">
        <f t="shared" si="1"/>
        <v>256</v>
      </c>
      <c r="I7" s="69">
        <f t="shared" si="2"/>
        <v>32</v>
      </c>
    </row>
    <row r="8" spans="1:22" ht="15.75" customHeight="1">
      <c r="A8" s="71"/>
      <c r="B8" s="5" t="s">
        <v>10</v>
      </c>
      <c r="C8" s="5" t="s">
        <v>11</v>
      </c>
      <c r="D8" s="10">
        <v>2</v>
      </c>
      <c r="E8" s="40">
        <f t="shared" si="0"/>
        <v>0.16666666666666666</v>
      </c>
      <c r="F8" s="67">
        <v>6</v>
      </c>
      <c r="G8" s="68">
        <v>30</v>
      </c>
      <c r="H8" s="67">
        <f t="shared" si="1"/>
        <v>180</v>
      </c>
      <c r="I8" s="69">
        <f t="shared" si="2"/>
        <v>30</v>
      </c>
    </row>
    <row r="9" spans="1:22" ht="15.75" customHeight="1">
      <c r="A9" s="71"/>
      <c r="B9" s="5" t="s">
        <v>12</v>
      </c>
      <c r="C9" s="5" t="s">
        <v>13</v>
      </c>
      <c r="D9" s="10">
        <v>2.5</v>
      </c>
      <c r="E9" s="40">
        <f t="shared" si="0"/>
        <v>0.20833333333333334</v>
      </c>
      <c r="F9" s="67">
        <v>6</v>
      </c>
      <c r="G9" s="68">
        <v>20</v>
      </c>
      <c r="H9" s="67">
        <f t="shared" si="1"/>
        <v>120</v>
      </c>
      <c r="I9" s="69">
        <f t="shared" si="2"/>
        <v>25</v>
      </c>
    </row>
    <row r="10" spans="1:22" ht="15.75" customHeight="1">
      <c r="A10" s="71"/>
      <c r="B10" s="5" t="s">
        <v>14</v>
      </c>
      <c r="C10" s="5" t="s">
        <v>15</v>
      </c>
      <c r="D10" s="10">
        <v>3</v>
      </c>
      <c r="E10" s="40">
        <f t="shared" si="0"/>
        <v>0.25</v>
      </c>
      <c r="F10" s="67">
        <v>6</v>
      </c>
      <c r="G10" s="68">
        <v>20</v>
      </c>
      <c r="H10" s="67">
        <f t="shared" si="1"/>
        <v>120</v>
      </c>
      <c r="I10" s="69">
        <f t="shared" si="2"/>
        <v>30</v>
      </c>
    </row>
    <row r="11" spans="1:22" ht="15.75">
      <c r="A11" s="71">
        <v>2.75</v>
      </c>
      <c r="B11" s="5" t="s">
        <v>322</v>
      </c>
      <c r="C11" s="5" t="s">
        <v>326</v>
      </c>
      <c r="D11" s="10">
        <v>1.65</v>
      </c>
      <c r="E11" s="40">
        <f t="shared" si="0"/>
        <v>0.13749999999999998</v>
      </c>
      <c r="F11" s="67">
        <v>16</v>
      </c>
      <c r="G11" s="68">
        <v>16</v>
      </c>
      <c r="H11" s="67">
        <f t="shared" si="1"/>
        <v>256</v>
      </c>
      <c r="I11" s="69">
        <f t="shared" si="2"/>
        <v>35.199999999999996</v>
      </c>
    </row>
    <row r="12" spans="1:22" ht="15.75">
      <c r="A12" s="71"/>
      <c r="B12" s="5" t="s">
        <v>323</v>
      </c>
      <c r="C12" s="5" t="s">
        <v>327</v>
      </c>
      <c r="D12" s="10">
        <v>2.2000000000000002</v>
      </c>
      <c r="E12" s="40">
        <f t="shared" si="0"/>
        <v>0.18333333333333335</v>
      </c>
      <c r="F12" s="67">
        <v>6</v>
      </c>
      <c r="G12" s="68">
        <v>30</v>
      </c>
      <c r="H12" s="67">
        <f t="shared" si="1"/>
        <v>180</v>
      </c>
      <c r="I12" s="69">
        <f t="shared" si="2"/>
        <v>33</v>
      </c>
    </row>
    <row r="13" spans="1:22" ht="15.75">
      <c r="A13" s="71"/>
      <c r="B13" s="5" t="s">
        <v>324</v>
      </c>
      <c r="C13" s="5" t="s">
        <v>328</v>
      </c>
      <c r="D13" s="10">
        <v>2.75</v>
      </c>
      <c r="E13" s="40">
        <f t="shared" si="0"/>
        <v>0.22916666666666666</v>
      </c>
      <c r="F13" s="67">
        <v>6</v>
      </c>
      <c r="G13" s="68">
        <v>20</v>
      </c>
      <c r="H13" s="67">
        <f t="shared" si="1"/>
        <v>120</v>
      </c>
      <c r="I13" s="69">
        <f t="shared" si="2"/>
        <v>27.5</v>
      </c>
    </row>
    <row r="14" spans="1:22" ht="16.5" thickBot="1">
      <c r="A14" s="72"/>
      <c r="B14" s="6" t="s">
        <v>325</v>
      </c>
      <c r="C14" s="6" t="s">
        <v>329</v>
      </c>
      <c r="D14" s="11">
        <v>3.3</v>
      </c>
      <c r="E14" s="41">
        <f t="shared" si="0"/>
        <v>0.27499999999999997</v>
      </c>
      <c r="F14" s="67">
        <v>6</v>
      </c>
      <c r="G14" s="68">
        <v>20</v>
      </c>
      <c r="H14" s="67">
        <f t="shared" si="1"/>
        <v>120</v>
      </c>
      <c r="I14" s="69">
        <f t="shared" si="2"/>
        <v>32.999999999999993</v>
      </c>
    </row>
    <row r="15" spans="1:22" ht="15.75">
      <c r="A15" s="70">
        <v>2.85</v>
      </c>
      <c r="B15" s="7" t="s">
        <v>16</v>
      </c>
      <c r="C15" s="7" t="s">
        <v>17</v>
      </c>
      <c r="D15" s="8">
        <v>2.2799999999999998</v>
      </c>
      <c r="E15" s="39">
        <f t="shared" si="0"/>
        <v>0.18999999999999997</v>
      </c>
      <c r="F15" s="67">
        <v>6</v>
      </c>
      <c r="G15" s="68">
        <v>30</v>
      </c>
      <c r="H15" s="67">
        <f t="shared" si="1"/>
        <v>180</v>
      </c>
      <c r="I15" s="69">
        <f t="shared" si="2"/>
        <v>34.199999999999996</v>
      </c>
    </row>
    <row r="16" spans="1:22" ht="15.75">
      <c r="A16" s="71"/>
      <c r="B16" s="5" t="s">
        <v>18</v>
      </c>
      <c r="C16" s="5" t="s">
        <v>19</v>
      </c>
      <c r="D16" s="1">
        <v>2.85</v>
      </c>
      <c r="E16" s="40">
        <f t="shared" si="0"/>
        <v>0.23750000000000002</v>
      </c>
      <c r="F16" s="67">
        <v>6</v>
      </c>
      <c r="G16" s="68">
        <v>20</v>
      </c>
      <c r="H16" s="67">
        <f t="shared" si="1"/>
        <v>120</v>
      </c>
      <c r="I16" s="69">
        <f t="shared" si="2"/>
        <v>28.500000000000004</v>
      </c>
    </row>
    <row r="17" spans="1:9" ht="16.5" thickBot="1">
      <c r="A17" s="72"/>
      <c r="B17" s="6" t="s">
        <v>20</v>
      </c>
      <c r="C17" s="6" t="s">
        <v>21</v>
      </c>
      <c r="D17" s="3">
        <v>3.4249999999999998</v>
      </c>
      <c r="E17" s="41">
        <f t="shared" si="0"/>
        <v>0.28541666666666665</v>
      </c>
      <c r="F17" s="67">
        <v>6</v>
      </c>
      <c r="G17" s="68">
        <v>20</v>
      </c>
      <c r="H17" s="67">
        <f t="shared" si="1"/>
        <v>120</v>
      </c>
      <c r="I17" s="69">
        <f t="shared" si="2"/>
        <v>34.25</v>
      </c>
    </row>
    <row r="18" spans="1:9" ht="15.75">
      <c r="A18" s="70">
        <v>3.25</v>
      </c>
      <c r="B18" s="7" t="s">
        <v>22</v>
      </c>
      <c r="C18" s="7" t="s">
        <v>23</v>
      </c>
      <c r="D18" s="8">
        <v>2.6</v>
      </c>
      <c r="E18" s="39">
        <f t="shared" si="0"/>
        <v>0.21666666666666667</v>
      </c>
      <c r="F18" s="67">
        <v>6</v>
      </c>
      <c r="G18" s="68">
        <v>24</v>
      </c>
      <c r="H18" s="67">
        <f t="shared" si="1"/>
        <v>144</v>
      </c>
      <c r="I18" s="69">
        <f t="shared" si="2"/>
        <v>31.200000000000003</v>
      </c>
    </row>
    <row r="19" spans="1:9" ht="15.75">
      <c r="A19" s="71"/>
      <c r="B19" s="5" t="s">
        <v>24</v>
      </c>
      <c r="C19" s="5" t="s">
        <v>25</v>
      </c>
      <c r="D19" s="1">
        <v>3.25</v>
      </c>
      <c r="E19" s="40">
        <f t="shared" si="0"/>
        <v>0.27083333333333331</v>
      </c>
      <c r="F19" s="67">
        <v>6</v>
      </c>
      <c r="G19" s="68">
        <v>20</v>
      </c>
      <c r="H19" s="67">
        <f t="shared" si="1"/>
        <v>120</v>
      </c>
      <c r="I19" s="69">
        <f t="shared" si="2"/>
        <v>32.5</v>
      </c>
    </row>
    <row r="20" spans="1:9" ht="16.5" thickBot="1">
      <c r="A20" s="72"/>
      <c r="B20" s="6" t="s">
        <v>26</v>
      </c>
      <c r="C20" s="6" t="s">
        <v>27</v>
      </c>
      <c r="D20" s="3">
        <v>3.9</v>
      </c>
      <c r="E20" s="41">
        <f t="shared" si="0"/>
        <v>0.32500000000000001</v>
      </c>
      <c r="F20" s="67">
        <v>6</v>
      </c>
      <c r="G20" s="68">
        <v>20</v>
      </c>
      <c r="H20" s="67">
        <f t="shared" si="1"/>
        <v>120</v>
      </c>
      <c r="I20" s="69">
        <f t="shared" si="2"/>
        <v>39</v>
      </c>
    </row>
    <row r="21" spans="1:9" ht="15.75" customHeight="1">
      <c r="A21" s="70">
        <v>3.2</v>
      </c>
      <c r="B21" s="7" t="s">
        <v>330</v>
      </c>
      <c r="C21" s="7" t="s">
        <v>333</v>
      </c>
      <c r="D21" s="13">
        <v>2.56</v>
      </c>
      <c r="E21" s="39">
        <f t="shared" si="0"/>
        <v>0.21333333333333335</v>
      </c>
      <c r="F21" s="67">
        <v>6</v>
      </c>
      <c r="G21" s="68">
        <v>30</v>
      </c>
      <c r="H21" s="67">
        <f t="shared" si="1"/>
        <v>180</v>
      </c>
      <c r="I21" s="69">
        <f t="shared" si="2"/>
        <v>38.400000000000006</v>
      </c>
    </row>
    <row r="22" spans="1:9" ht="15.75" customHeight="1">
      <c r="A22" s="71"/>
      <c r="B22" s="5" t="s">
        <v>331</v>
      </c>
      <c r="C22" s="5" t="s">
        <v>334</v>
      </c>
      <c r="D22" s="14">
        <v>3.2</v>
      </c>
      <c r="E22" s="40">
        <f t="shared" si="0"/>
        <v>0.26666666666666666</v>
      </c>
      <c r="F22" s="67">
        <v>6</v>
      </c>
      <c r="G22" s="68">
        <v>20</v>
      </c>
      <c r="H22" s="67">
        <f t="shared" si="1"/>
        <v>120</v>
      </c>
      <c r="I22" s="69">
        <f t="shared" si="2"/>
        <v>32</v>
      </c>
    </row>
    <row r="23" spans="1:9" ht="15.75" customHeight="1">
      <c r="A23" s="71"/>
      <c r="B23" s="5" t="s">
        <v>332</v>
      </c>
      <c r="C23" s="5" t="s">
        <v>335</v>
      </c>
      <c r="D23" s="14">
        <v>3.85</v>
      </c>
      <c r="E23" s="40">
        <f t="shared" si="0"/>
        <v>0.32083333333333336</v>
      </c>
      <c r="F23" s="67">
        <v>6</v>
      </c>
      <c r="G23" s="68">
        <v>20</v>
      </c>
      <c r="H23" s="67">
        <f t="shared" si="1"/>
        <v>120</v>
      </c>
      <c r="I23" s="69">
        <f t="shared" si="2"/>
        <v>38.5</v>
      </c>
    </row>
    <row r="24" spans="1:9" ht="15.75">
      <c r="A24" s="71">
        <v>3.6</v>
      </c>
      <c r="B24" s="5" t="s">
        <v>28</v>
      </c>
      <c r="C24" s="5" t="s">
        <v>29</v>
      </c>
      <c r="D24" s="1">
        <v>2.9</v>
      </c>
      <c r="E24" s="40">
        <f t="shared" si="0"/>
        <v>0.24166666666666667</v>
      </c>
      <c r="F24" s="67">
        <v>6</v>
      </c>
      <c r="G24" s="68">
        <v>24</v>
      </c>
      <c r="H24" s="67">
        <f t="shared" si="1"/>
        <v>144</v>
      </c>
      <c r="I24" s="69">
        <f t="shared" si="2"/>
        <v>34.799999999999997</v>
      </c>
    </row>
    <row r="25" spans="1:9" ht="15.75" customHeight="1">
      <c r="A25" s="71"/>
      <c r="B25" s="5" t="s">
        <v>30</v>
      </c>
      <c r="C25" s="5" t="s">
        <v>31</v>
      </c>
      <c r="D25" s="1">
        <v>3.6</v>
      </c>
      <c r="E25" s="40">
        <f t="shared" si="0"/>
        <v>0.3</v>
      </c>
      <c r="F25" s="67">
        <v>6</v>
      </c>
      <c r="G25" s="68">
        <v>20</v>
      </c>
      <c r="H25" s="67">
        <f t="shared" si="1"/>
        <v>120</v>
      </c>
      <c r="I25" s="69">
        <f t="shared" si="2"/>
        <v>36</v>
      </c>
    </row>
    <row r="26" spans="1:9" ht="15.75" customHeight="1" thickBot="1">
      <c r="A26" s="72"/>
      <c r="B26" s="6" t="s">
        <v>32</v>
      </c>
      <c r="C26" s="6" t="s">
        <v>33</v>
      </c>
      <c r="D26" s="3">
        <v>4.3</v>
      </c>
      <c r="E26" s="41">
        <f t="shared" si="0"/>
        <v>0.35833333333333334</v>
      </c>
      <c r="F26" s="67">
        <v>6</v>
      </c>
      <c r="G26" s="68">
        <v>20</v>
      </c>
      <c r="H26" s="67">
        <f t="shared" si="1"/>
        <v>120</v>
      </c>
      <c r="I26" s="69">
        <f t="shared" si="2"/>
        <v>43</v>
      </c>
    </row>
    <row r="27" spans="1:9" ht="15.75" customHeight="1">
      <c r="A27" s="70">
        <v>4.2</v>
      </c>
      <c r="B27" s="7" t="s">
        <v>34</v>
      </c>
      <c r="C27" s="7" t="s">
        <v>35</v>
      </c>
      <c r="D27" s="8">
        <v>3.35</v>
      </c>
      <c r="E27" s="39">
        <f t="shared" si="0"/>
        <v>0.27916666666666667</v>
      </c>
      <c r="F27" s="67">
        <v>5</v>
      </c>
      <c r="G27" s="68">
        <v>20</v>
      </c>
      <c r="H27" s="67">
        <f t="shared" si="1"/>
        <v>100</v>
      </c>
      <c r="I27" s="69">
        <f t="shared" si="2"/>
        <v>27.916666666666668</v>
      </c>
    </row>
    <row r="28" spans="1:9" ht="15.75" customHeight="1">
      <c r="A28" s="71"/>
      <c r="B28" s="5" t="s">
        <v>36</v>
      </c>
      <c r="C28" s="5" t="s">
        <v>37</v>
      </c>
      <c r="D28" s="1">
        <v>4.2</v>
      </c>
      <c r="E28" s="40">
        <f t="shared" si="0"/>
        <v>0.35000000000000003</v>
      </c>
      <c r="F28" s="67">
        <v>5</v>
      </c>
      <c r="G28" s="68">
        <v>20</v>
      </c>
      <c r="H28" s="67">
        <f t="shared" si="1"/>
        <v>100</v>
      </c>
      <c r="I28" s="69">
        <f t="shared" si="2"/>
        <v>35</v>
      </c>
    </row>
    <row r="29" spans="1:9" ht="15.75" customHeight="1">
      <c r="A29" s="71"/>
      <c r="B29" s="5" t="s">
        <v>38</v>
      </c>
      <c r="C29" s="5" t="s">
        <v>39</v>
      </c>
      <c r="D29" s="1">
        <v>5.05</v>
      </c>
      <c r="E29" s="40">
        <f t="shared" si="0"/>
        <v>0.42083333333333334</v>
      </c>
      <c r="F29" s="67">
        <v>5</v>
      </c>
      <c r="G29" s="68">
        <v>18</v>
      </c>
      <c r="H29" s="67">
        <f t="shared" si="1"/>
        <v>90</v>
      </c>
      <c r="I29" s="69">
        <f t="shared" si="2"/>
        <v>37.875</v>
      </c>
    </row>
    <row r="30" spans="1:9" ht="15.75" customHeight="1" thickBot="1">
      <c r="A30" s="72"/>
      <c r="B30" s="6" t="s">
        <v>40</v>
      </c>
      <c r="C30" s="6" t="s">
        <v>41</v>
      </c>
      <c r="D30" s="3">
        <v>6.72</v>
      </c>
      <c r="E30" s="41">
        <f t="shared" si="0"/>
        <v>0.55999999999999994</v>
      </c>
      <c r="F30" s="67">
        <v>4</v>
      </c>
      <c r="G30" s="68">
        <v>16</v>
      </c>
      <c r="H30" s="67">
        <f t="shared" si="1"/>
        <v>64</v>
      </c>
      <c r="I30" s="69">
        <f t="shared" si="2"/>
        <v>35.839999999999996</v>
      </c>
    </row>
    <row r="31" spans="1:9" ht="15.75" customHeight="1">
      <c r="A31" s="74">
        <v>5.05</v>
      </c>
      <c r="B31" s="81" t="s">
        <v>42</v>
      </c>
      <c r="C31" s="81" t="s">
        <v>43</v>
      </c>
      <c r="D31" s="82">
        <v>4.05</v>
      </c>
      <c r="E31" s="83">
        <f t="shared" si="0"/>
        <v>0.33749999999999997</v>
      </c>
      <c r="F31" s="67">
        <v>4</v>
      </c>
      <c r="G31" s="68">
        <v>24</v>
      </c>
      <c r="H31" s="67">
        <f t="shared" si="1"/>
        <v>96</v>
      </c>
      <c r="I31" s="69">
        <f t="shared" si="2"/>
        <v>32.4</v>
      </c>
    </row>
    <row r="32" spans="1:9" ht="15.75" customHeight="1">
      <c r="A32" s="74"/>
      <c r="B32" s="5" t="s">
        <v>44</v>
      </c>
      <c r="C32" s="5" t="s">
        <v>45</v>
      </c>
      <c r="D32" s="1">
        <v>5.05</v>
      </c>
      <c r="E32" s="40">
        <f t="shared" si="0"/>
        <v>0.42083333333333334</v>
      </c>
      <c r="F32" s="67">
        <v>4</v>
      </c>
      <c r="G32" s="68">
        <v>20</v>
      </c>
      <c r="H32" s="67">
        <f t="shared" si="1"/>
        <v>80</v>
      </c>
      <c r="I32" s="69">
        <f t="shared" si="2"/>
        <v>33.666666666666664</v>
      </c>
    </row>
    <row r="33" spans="1:9" ht="15.75" customHeight="1">
      <c r="A33" s="74"/>
      <c r="B33" s="5" t="s">
        <v>46</v>
      </c>
      <c r="C33" s="5" t="s">
        <v>47</v>
      </c>
      <c r="D33" s="1">
        <v>6.05</v>
      </c>
      <c r="E33" s="40">
        <f t="shared" si="0"/>
        <v>0.50416666666666665</v>
      </c>
      <c r="F33" s="67">
        <v>4</v>
      </c>
      <c r="G33" s="68">
        <v>20</v>
      </c>
      <c r="H33" s="67">
        <f t="shared" si="1"/>
        <v>80</v>
      </c>
      <c r="I33" s="69">
        <f t="shared" si="2"/>
        <v>40.333333333333329</v>
      </c>
    </row>
    <row r="34" spans="1:9" ht="15" customHeight="1">
      <c r="A34" s="74"/>
      <c r="B34" s="5" t="s">
        <v>48</v>
      </c>
      <c r="C34" s="5" t="s">
        <v>49</v>
      </c>
      <c r="D34" s="1">
        <v>8.1</v>
      </c>
      <c r="E34" s="40">
        <f t="shared" si="0"/>
        <v>0.67499999999999993</v>
      </c>
      <c r="F34" s="67">
        <v>3</v>
      </c>
      <c r="G34" s="68">
        <v>16</v>
      </c>
      <c r="H34" s="67">
        <f t="shared" si="1"/>
        <v>48</v>
      </c>
      <c r="I34" s="69">
        <f t="shared" si="2"/>
        <v>32.4</v>
      </c>
    </row>
    <row r="35" spans="1:9" ht="15" customHeight="1">
      <c r="A35" s="74"/>
      <c r="B35" s="5" t="s">
        <v>176</v>
      </c>
      <c r="C35" s="5" t="s">
        <v>179</v>
      </c>
      <c r="D35" s="1">
        <v>10.1</v>
      </c>
      <c r="E35" s="40">
        <f t="shared" ref="E35:E69" si="3">D35/12</f>
        <v>0.84166666666666667</v>
      </c>
      <c r="F35" s="67">
        <v>2</v>
      </c>
      <c r="G35" s="68">
        <v>20</v>
      </c>
      <c r="H35" s="67">
        <f t="shared" ref="H35:H69" si="4">G35*F35</f>
        <v>40</v>
      </c>
      <c r="I35" s="69">
        <f t="shared" ref="I35:I69" si="5">H35*E35</f>
        <v>33.666666666666664</v>
      </c>
    </row>
    <row r="36" spans="1:9" ht="15" customHeight="1">
      <c r="A36" s="74"/>
      <c r="B36" s="5" t="s">
        <v>177</v>
      </c>
      <c r="C36" s="5" t="s">
        <v>180</v>
      </c>
      <c r="D36" s="1">
        <v>12.1</v>
      </c>
      <c r="E36" s="40">
        <f t="shared" si="3"/>
        <v>1.0083333333333333</v>
      </c>
      <c r="F36" s="67">
        <v>2</v>
      </c>
      <c r="G36" s="68">
        <v>16</v>
      </c>
      <c r="H36" s="67">
        <f t="shared" si="4"/>
        <v>32</v>
      </c>
      <c r="I36" s="69">
        <f t="shared" si="5"/>
        <v>32.266666666666666</v>
      </c>
    </row>
    <row r="37" spans="1:9" ht="15" customHeight="1" thickBot="1">
      <c r="A37" s="75"/>
      <c r="B37" s="6" t="s">
        <v>178</v>
      </c>
      <c r="C37" s="6" t="s">
        <v>181</v>
      </c>
      <c r="D37" s="3">
        <v>18.149999999999999</v>
      </c>
      <c r="E37" s="41">
        <f t="shared" si="3"/>
        <v>1.5125</v>
      </c>
      <c r="F37" s="67">
        <v>2</v>
      </c>
      <c r="G37" s="68">
        <v>12</v>
      </c>
      <c r="H37" s="67">
        <f t="shared" si="4"/>
        <v>24</v>
      </c>
      <c r="I37" s="69">
        <f t="shared" si="5"/>
        <v>36.299999999999997</v>
      </c>
    </row>
    <row r="38" spans="1:9" ht="15.75" customHeight="1">
      <c r="A38" s="73">
        <v>6</v>
      </c>
      <c r="B38" s="7" t="s">
        <v>50</v>
      </c>
      <c r="C38" s="7" t="s">
        <v>51</v>
      </c>
      <c r="D38" s="8">
        <v>4.8</v>
      </c>
      <c r="E38" s="39">
        <f t="shared" si="3"/>
        <v>0.39999999999999997</v>
      </c>
      <c r="F38" s="67">
        <v>3</v>
      </c>
      <c r="G38" s="68">
        <v>30</v>
      </c>
      <c r="H38" s="67">
        <f t="shared" si="4"/>
        <v>90</v>
      </c>
      <c r="I38" s="69">
        <f t="shared" si="5"/>
        <v>36</v>
      </c>
    </row>
    <row r="39" spans="1:9" ht="15.75" customHeight="1">
      <c r="A39" s="74"/>
      <c r="B39" s="5" t="s">
        <v>52</v>
      </c>
      <c r="C39" s="5" t="s">
        <v>53</v>
      </c>
      <c r="D39" s="1">
        <v>6</v>
      </c>
      <c r="E39" s="40">
        <f t="shared" si="3"/>
        <v>0.5</v>
      </c>
      <c r="F39" s="67">
        <v>3</v>
      </c>
      <c r="G39" s="68">
        <v>20</v>
      </c>
      <c r="H39" s="67">
        <f t="shared" si="4"/>
        <v>60</v>
      </c>
      <c r="I39" s="69">
        <f t="shared" si="5"/>
        <v>30</v>
      </c>
    </row>
    <row r="40" spans="1:9" ht="15.75" customHeight="1">
      <c r="A40" s="74"/>
      <c r="B40" s="5" t="s">
        <v>54</v>
      </c>
      <c r="C40" s="5" t="s">
        <v>55</v>
      </c>
      <c r="D40" s="1">
        <v>7.2</v>
      </c>
      <c r="E40" s="40">
        <f t="shared" si="3"/>
        <v>0.6</v>
      </c>
      <c r="F40" s="67">
        <v>3</v>
      </c>
      <c r="G40" s="68">
        <v>20</v>
      </c>
      <c r="H40" s="67">
        <f t="shared" si="4"/>
        <v>60</v>
      </c>
      <c r="I40" s="69">
        <f t="shared" si="5"/>
        <v>36</v>
      </c>
    </row>
    <row r="41" spans="1:9" ht="15.75" customHeight="1">
      <c r="A41" s="74"/>
      <c r="B41" s="5" t="s">
        <v>56</v>
      </c>
      <c r="C41" s="5" t="s">
        <v>57</v>
      </c>
      <c r="D41" s="1">
        <v>9.6</v>
      </c>
      <c r="E41" s="40">
        <f t="shared" si="3"/>
        <v>0.79999999999999993</v>
      </c>
      <c r="F41" s="67">
        <v>3</v>
      </c>
      <c r="G41" s="68">
        <v>16</v>
      </c>
      <c r="H41" s="67">
        <f t="shared" si="4"/>
        <v>48</v>
      </c>
      <c r="I41" s="69">
        <f t="shared" si="5"/>
        <v>38.4</v>
      </c>
    </row>
    <row r="42" spans="1:9" ht="15.75" customHeight="1">
      <c r="A42" s="74"/>
      <c r="B42" s="5" t="s">
        <v>182</v>
      </c>
      <c r="C42" s="5" t="s">
        <v>185</v>
      </c>
      <c r="D42" s="1">
        <v>12</v>
      </c>
      <c r="E42" s="40">
        <f t="shared" si="3"/>
        <v>1</v>
      </c>
      <c r="F42" s="67">
        <v>2</v>
      </c>
      <c r="G42" s="68"/>
      <c r="H42" s="67">
        <f t="shared" si="4"/>
        <v>0</v>
      </c>
      <c r="I42" s="69">
        <f t="shared" si="5"/>
        <v>0</v>
      </c>
    </row>
    <row r="43" spans="1:9" ht="15.75" customHeight="1">
      <c r="A43" s="74"/>
      <c r="B43" s="5" t="s">
        <v>183</v>
      </c>
      <c r="C43" s="5" t="s">
        <v>186</v>
      </c>
      <c r="D43" s="1">
        <v>14.4</v>
      </c>
      <c r="E43" s="40">
        <f t="shared" si="3"/>
        <v>1.2</v>
      </c>
      <c r="F43" s="67">
        <v>2</v>
      </c>
      <c r="G43" s="68"/>
      <c r="H43" s="67">
        <f t="shared" si="4"/>
        <v>0</v>
      </c>
      <c r="I43" s="69">
        <f t="shared" si="5"/>
        <v>0</v>
      </c>
    </row>
    <row r="44" spans="1:9" ht="15.75" customHeight="1" thickBot="1">
      <c r="A44" s="75"/>
      <c r="B44" s="6" t="s">
        <v>184</v>
      </c>
      <c r="C44" s="6" t="s">
        <v>187</v>
      </c>
      <c r="D44" s="3">
        <v>21.6</v>
      </c>
      <c r="E44" s="41">
        <f t="shared" si="3"/>
        <v>1.8</v>
      </c>
      <c r="F44" s="67">
        <v>2</v>
      </c>
      <c r="G44" s="68"/>
      <c r="H44" s="67">
        <f t="shared" si="4"/>
        <v>0</v>
      </c>
      <c r="I44" s="69">
        <f t="shared" si="5"/>
        <v>0</v>
      </c>
    </row>
    <row r="45" spans="1:9" ht="15.75">
      <c r="A45" s="70">
        <v>7.6</v>
      </c>
      <c r="B45" s="12" t="s">
        <v>188</v>
      </c>
      <c r="C45" s="12" t="s">
        <v>195</v>
      </c>
      <c r="D45" s="15">
        <v>5.0999999999999996</v>
      </c>
      <c r="E45" s="39">
        <f t="shared" si="3"/>
        <v>0.42499999999999999</v>
      </c>
      <c r="F45" s="67">
        <v>0</v>
      </c>
      <c r="G45" s="68">
        <v>0</v>
      </c>
      <c r="H45" s="67">
        <f t="shared" si="4"/>
        <v>0</v>
      </c>
      <c r="I45" s="69">
        <f t="shared" si="5"/>
        <v>0</v>
      </c>
    </row>
    <row r="46" spans="1:9" ht="15.75">
      <c r="A46" s="71"/>
      <c r="B46" s="5" t="s">
        <v>189</v>
      </c>
      <c r="C46" s="5" t="s">
        <v>196</v>
      </c>
      <c r="D46" s="1">
        <v>7.6</v>
      </c>
      <c r="E46" s="40">
        <f t="shared" si="3"/>
        <v>0.6333333333333333</v>
      </c>
      <c r="F46" s="67">
        <v>3</v>
      </c>
      <c r="G46" s="68">
        <v>20</v>
      </c>
      <c r="H46" s="67">
        <f t="shared" si="4"/>
        <v>60</v>
      </c>
      <c r="I46" s="69">
        <f t="shared" si="5"/>
        <v>38</v>
      </c>
    </row>
    <row r="47" spans="1:9" ht="15.75">
      <c r="A47" s="71"/>
      <c r="B47" s="5" t="s">
        <v>190</v>
      </c>
      <c r="C47" s="5" t="s">
        <v>197</v>
      </c>
      <c r="D47" s="1">
        <v>9.1</v>
      </c>
      <c r="E47" s="40">
        <f t="shared" si="3"/>
        <v>0.7583333333333333</v>
      </c>
      <c r="F47" s="67">
        <v>3</v>
      </c>
      <c r="G47" s="68">
        <v>16</v>
      </c>
      <c r="H47" s="67">
        <f t="shared" si="4"/>
        <v>48</v>
      </c>
      <c r="I47" s="69">
        <f t="shared" si="5"/>
        <v>36.4</v>
      </c>
    </row>
    <row r="48" spans="1:9" ht="15.75">
      <c r="A48" s="71"/>
      <c r="B48" s="5" t="s">
        <v>191</v>
      </c>
      <c r="C48" s="5" t="s">
        <v>198</v>
      </c>
      <c r="D48" s="1">
        <v>10.199999999999999</v>
      </c>
      <c r="E48" s="40">
        <f t="shared" si="3"/>
        <v>0.85</v>
      </c>
      <c r="F48" s="67">
        <v>2</v>
      </c>
      <c r="G48" s="68">
        <v>16</v>
      </c>
      <c r="H48" s="67">
        <f t="shared" si="4"/>
        <v>32</v>
      </c>
      <c r="I48" s="69">
        <f t="shared" si="5"/>
        <v>27.2</v>
      </c>
    </row>
    <row r="49" spans="1:9" ht="15.75">
      <c r="A49" s="71"/>
      <c r="B49" s="5" t="s">
        <v>192</v>
      </c>
      <c r="C49" s="5" t="s">
        <v>199</v>
      </c>
      <c r="D49" s="1">
        <v>15.2</v>
      </c>
      <c r="E49" s="40">
        <f t="shared" si="3"/>
        <v>1.2666666666666666</v>
      </c>
      <c r="F49" s="67">
        <v>2</v>
      </c>
      <c r="G49" s="68"/>
      <c r="H49" s="67">
        <f t="shared" si="4"/>
        <v>0</v>
      </c>
      <c r="I49" s="69">
        <f t="shared" si="5"/>
        <v>0</v>
      </c>
    </row>
    <row r="50" spans="1:9" ht="15.75">
      <c r="A50" s="71"/>
      <c r="B50" s="5" t="s">
        <v>193</v>
      </c>
      <c r="C50" s="5" t="s">
        <v>200</v>
      </c>
      <c r="D50" s="1">
        <v>18.2</v>
      </c>
      <c r="E50" s="40">
        <f t="shared" si="3"/>
        <v>1.5166666666666666</v>
      </c>
      <c r="F50" s="67">
        <v>2</v>
      </c>
      <c r="G50" s="68"/>
      <c r="H50" s="67">
        <f t="shared" si="4"/>
        <v>0</v>
      </c>
      <c r="I50" s="69">
        <f t="shared" si="5"/>
        <v>0</v>
      </c>
    </row>
    <row r="51" spans="1:9" ht="16.5" thickBot="1">
      <c r="A51" s="72"/>
      <c r="B51" s="6" t="s">
        <v>194</v>
      </c>
      <c r="C51" s="6" t="s">
        <v>201</v>
      </c>
      <c r="D51" s="3">
        <v>27.3</v>
      </c>
      <c r="E51" s="41">
        <f t="shared" si="3"/>
        <v>2.2749999999999999</v>
      </c>
      <c r="F51" s="67">
        <v>2</v>
      </c>
      <c r="G51" s="68"/>
      <c r="H51" s="67">
        <f t="shared" si="4"/>
        <v>0</v>
      </c>
      <c r="I51" s="69">
        <f t="shared" si="5"/>
        <v>0</v>
      </c>
    </row>
    <row r="52" spans="1:9" ht="15.75">
      <c r="A52" s="73">
        <v>7.1</v>
      </c>
      <c r="B52" s="7" t="s">
        <v>202</v>
      </c>
      <c r="C52" s="7" t="s">
        <v>208</v>
      </c>
      <c r="D52" s="8">
        <v>7.1</v>
      </c>
      <c r="E52" s="39">
        <f t="shared" si="3"/>
        <v>0.59166666666666667</v>
      </c>
      <c r="F52" s="67">
        <v>3</v>
      </c>
      <c r="G52" s="68">
        <v>20</v>
      </c>
      <c r="H52" s="67">
        <f t="shared" si="4"/>
        <v>60</v>
      </c>
      <c r="I52" s="69">
        <f t="shared" si="5"/>
        <v>35.5</v>
      </c>
    </row>
    <row r="53" spans="1:9" ht="15.75">
      <c r="A53" s="74"/>
      <c r="B53" s="5" t="s">
        <v>203</v>
      </c>
      <c r="C53" s="5" t="s">
        <v>209</v>
      </c>
      <c r="D53" s="1">
        <v>8.6</v>
      </c>
      <c r="E53" s="40">
        <f t="shared" si="3"/>
        <v>0.71666666666666667</v>
      </c>
      <c r="F53" s="67">
        <v>3</v>
      </c>
      <c r="G53" s="68">
        <v>20</v>
      </c>
      <c r="H53" s="67">
        <f t="shared" si="4"/>
        <v>60</v>
      </c>
      <c r="I53" s="69">
        <f t="shared" si="5"/>
        <v>43</v>
      </c>
    </row>
    <row r="54" spans="1:9" ht="15.75">
      <c r="A54" s="74"/>
      <c r="B54" s="5" t="s">
        <v>204</v>
      </c>
      <c r="C54" s="5" t="s">
        <v>210</v>
      </c>
      <c r="D54" s="1">
        <v>11.4</v>
      </c>
      <c r="E54" s="40">
        <f t="shared" si="3"/>
        <v>0.95000000000000007</v>
      </c>
      <c r="F54" s="67">
        <v>3</v>
      </c>
      <c r="G54" s="68">
        <v>16</v>
      </c>
      <c r="H54" s="67">
        <f t="shared" si="4"/>
        <v>48</v>
      </c>
      <c r="I54" s="69">
        <f t="shared" si="5"/>
        <v>45.6</v>
      </c>
    </row>
    <row r="55" spans="1:9" ht="15.75">
      <c r="A55" s="74"/>
      <c r="B55" s="5" t="s">
        <v>205</v>
      </c>
      <c r="C55" s="5" t="s">
        <v>211</v>
      </c>
      <c r="D55" s="1">
        <v>14.2</v>
      </c>
      <c r="E55" s="40">
        <f t="shared" si="3"/>
        <v>1.1833333333333333</v>
      </c>
      <c r="F55" s="67">
        <v>2</v>
      </c>
      <c r="G55" s="68"/>
      <c r="H55" s="67">
        <f t="shared" si="4"/>
        <v>0</v>
      </c>
      <c r="I55" s="69">
        <f t="shared" si="5"/>
        <v>0</v>
      </c>
    </row>
    <row r="56" spans="1:9" ht="15.75">
      <c r="A56" s="74"/>
      <c r="B56" s="5" t="s">
        <v>206</v>
      </c>
      <c r="C56" s="5" t="s">
        <v>212</v>
      </c>
      <c r="D56" s="1">
        <v>17.2</v>
      </c>
      <c r="E56" s="40">
        <f t="shared" si="3"/>
        <v>1.4333333333333333</v>
      </c>
      <c r="F56" s="67">
        <v>2</v>
      </c>
      <c r="G56" s="68"/>
      <c r="H56" s="67">
        <f t="shared" si="4"/>
        <v>0</v>
      </c>
      <c r="I56" s="69">
        <f t="shared" si="5"/>
        <v>0</v>
      </c>
    </row>
    <row r="57" spans="1:9" ht="16.5" thickBot="1">
      <c r="A57" s="75"/>
      <c r="B57" s="6" t="s">
        <v>207</v>
      </c>
      <c r="C57" s="6" t="s">
        <v>213</v>
      </c>
      <c r="D57" s="3">
        <v>25.8</v>
      </c>
      <c r="E57" s="41">
        <f t="shared" si="3"/>
        <v>2.15</v>
      </c>
      <c r="F57" s="67">
        <v>2</v>
      </c>
      <c r="G57" s="68"/>
      <c r="H57" s="67">
        <f t="shared" si="4"/>
        <v>0</v>
      </c>
      <c r="I57" s="69">
        <f t="shared" si="5"/>
        <v>0</v>
      </c>
    </row>
    <row r="58" spans="1:9" ht="15.75">
      <c r="A58" s="70">
        <v>8.3000000000000007</v>
      </c>
      <c r="B58" s="7" t="s">
        <v>214</v>
      </c>
      <c r="C58" s="7" t="s">
        <v>215</v>
      </c>
      <c r="D58" s="8">
        <v>8.3000000000000007</v>
      </c>
      <c r="E58" s="39">
        <f t="shared" si="3"/>
        <v>0.69166666666666676</v>
      </c>
      <c r="F58" s="67">
        <v>2</v>
      </c>
      <c r="G58" s="68">
        <v>20</v>
      </c>
      <c r="H58" s="67">
        <f t="shared" si="4"/>
        <v>40</v>
      </c>
      <c r="I58" s="69">
        <f t="shared" si="5"/>
        <v>27.666666666666671</v>
      </c>
    </row>
    <row r="59" spans="1:9" ht="15.75">
      <c r="A59" s="71"/>
      <c r="B59" s="5" t="s">
        <v>216</v>
      </c>
      <c r="C59" s="5" t="s">
        <v>217</v>
      </c>
      <c r="D59" s="1">
        <v>10</v>
      </c>
      <c r="E59" s="40">
        <f t="shared" si="3"/>
        <v>0.83333333333333337</v>
      </c>
      <c r="F59" s="67">
        <v>2</v>
      </c>
      <c r="G59" s="68">
        <v>20</v>
      </c>
      <c r="H59" s="67">
        <f t="shared" si="4"/>
        <v>40</v>
      </c>
      <c r="I59" s="69">
        <f t="shared" si="5"/>
        <v>33.333333333333336</v>
      </c>
    </row>
    <row r="60" spans="1:9" ht="15.75">
      <c r="A60" s="71"/>
      <c r="B60" s="5" t="s">
        <v>218</v>
      </c>
      <c r="C60" s="5" t="s">
        <v>219</v>
      </c>
      <c r="D60" s="1">
        <v>13.35</v>
      </c>
      <c r="E60" s="40">
        <f t="shared" si="3"/>
        <v>1.1125</v>
      </c>
      <c r="F60" s="67">
        <v>2</v>
      </c>
      <c r="G60" s="68">
        <v>16</v>
      </c>
      <c r="H60" s="67">
        <f t="shared" si="4"/>
        <v>32</v>
      </c>
      <c r="I60" s="69">
        <f t="shared" si="5"/>
        <v>35.6</v>
      </c>
    </row>
    <row r="61" spans="1:9" ht="15.75">
      <c r="A61" s="71"/>
      <c r="B61" s="5" t="s">
        <v>220</v>
      </c>
      <c r="C61" s="5" t="s">
        <v>221</v>
      </c>
      <c r="D61" s="1">
        <v>16.600000000000001</v>
      </c>
      <c r="E61" s="40">
        <f t="shared" si="3"/>
        <v>1.3833333333333335</v>
      </c>
      <c r="F61" s="67">
        <v>2</v>
      </c>
      <c r="G61" s="68"/>
      <c r="H61" s="67">
        <f t="shared" si="4"/>
        <v>0</v>
      </c>
      <c r="I61" s="69">
        <f t="shared" si="5"/>
        <v>0</v>
      </c>
    </row>
    <row r="62" spans="1:9" ht="15.75">
      <c r="A62" s="71"/>
      <c r="B62" s="5" t="s">
        <v>222</v>
      </c>
      <c r="C62" s="5" t="s">
        <v>223</v>
      </c>
      <c r="D62" s="1">
        <v>20</v>
      </c>
      <c r="E62" s="40">
        <f t="shared" si="3"/>
        <v>1.6666666666666667</v>
      </c>
      <c r="F62" s="67">
        <v>2</v>
      </c>
      <c r="G62" s="68"/>
      <c r="H62" s="67">
        <f t="shared" si="4"/>
        <v>0</v>
      </c>
      <c r="I62" s="69">
        <f t="shared" si="5"/>
        <v>0</v>
      </c>
    </row>
    <row r="63" spans="1:9" ht="16.5" thickBot="1">
      <c r="A63" s="72"/>
      <c r="B63" s="6" t="s">
        <v>224</v>
      </c>
      <c r="C63" s="6" t="s">
        <v>225</v>
      </c>
      <c r="D63" s="3">
        <v>30</v>
      </c>
      <c r="E63" s="41">
        <f t="shared" si="3"/>
        <v>2.5</v>
      </c>
      <c r="F63" s="67">
        <v>2</v>
      </c>
      <c r="G63" s="68"/>
      <c r="H63" s="67">
        <f t="shared" si="4"/>
        <v>0</v>
      </c>
      <c r="I63" s="69">
        <f t="shared" si="5"/>
        <v>0</v>
      </c>
    </row>
    <row r="64" spans="1:9" ht="15.75">
      <c r="A64" s="70">
        <v>10</v>
      </c>
      <c r="B64" s="7" t="s">
        <v>226</v>
      </c>
      <c r="C64" s="7" t="s">
        <v>227</v>
      </c>
      <c r="D64" s="8">
        <v>10</v>
      </c>
      <c r="E64" s="39">
        <f t="shared" si="3"/>
        <v>0.83333333333333337</v>
      </c>
      <c r="F64" s="67">
        <v>2</v>
      </c>
      <c r="G64" s="68"/>
      <c r="H64" s="67">
        <f t="shared" si="4"/>
        <v>0</v>
      </c>
      <c r="I64" s="69">
        <f t="shared" si="5"/>
        <v>0</v>
      </c>
    </row>
    <row r="65" spans="1:9" ht="15.75">
      <c r="A65" s="71"/>
      <c r="B65" s="5" t="s">
        <v>228</v>
      </c>
      <c r="C65" s="5" t="s">
        <v>229</v>
      </c>
      <c r="D65" s="1">
        <v>12.1</v>
      </c>
      <c r="E65" s="40">
        <f t="shared" si="3"/>
        <v>1.0083333333333333</v>
      </c>
      <c r="F65" s="67">
        <v>2</v>
      </c>
      <c r="G65" s="68"/>
      <c r="H65" s="67">
        <f t="shared" si="4"/>
        <v>0</v>
      </c>
      <c r="I65" s="69">
        <f t="shared" si="5"/>
        <v>0</v>
      </c>
    </row>
    <row r="66" spans="1:9" ht="15.75">
      <c r="A66" s="71"/>
      <c r="B66" s="5" t="s">
        <v>230</v>
      </c>
      <c r="C66" s="5" t="s">
        <v>231</v>
      </c>
      <c r="D66" s="1">
        <v>16.100000000000001</v>
      </c>
      <c r="E66" s="40">
        <f t="shared" si="3"/>
        <v>1.3416666666666668</v>
      </c>
      <c r="F66" s="67">
        <v>2</v>
      </c>
      <c r="G66" s="68"/>
      <c r="H66" s="67">
        <f t="shared" si="4"/>
        <v>0</v>
      </c>
      <c r="I66" s="69">
        <f t="shared" si="5"/>
        <v>0</v>
      </c>
    </row>
    <row r="67" spans="1:9" ht="15.75">
      <c r="A67" s="71"/>
      <c r="B67" s="5" t="s">
        <v>232</v>
      </c>
      <c r="C67" s="5" t="s">
        <v>233</v>
      </c>
      <c r="D67" s="1">
        <v>20</v>
      </c>
      <c r="E67" s="40">
        <f t="shared" si="3"/>
        <v>1.6666666666666667</v>
      </c>
      <c r="F67" s="67">
        <v>2</v>
      </c>
      <c r="G67" s="68"/>
      <c r="H67" s="67">
        <f t="shared" si="4"/>
        <v>0</v>
      </c>
      <c r="I67" s="69">
        <f t="shared" si="5"/>
        <v>0</v>
      </c>
    </row>
    <row r="68" spans="1:9" ht="15.75">
      <c r="A68" s="71"/>
      <c r="B68" s="5" t="s">
        <v>234</v>
      </c>
      <c r="C68" s="5" t="s">
        <v>235</v>
      </c>
      <c r="D68" s="1">
        <v>24.2</v>
      </c>
      <c r="E68" s="40">
        <f t="shared" si="3"/>
        <v>2.0166666666666666</v>
      </c>
      <c r="F68" s="67">
        <v>2</v>
      </c>
      <c r="G68" s="68"/>
      <c r="H68" s="67">
        <f t="shared" si="4"/>
        <v>0</v>
      </c>
      <c r="I68" s="69">
        <f t="shared" si="5"/>
        <v>0</v>
      </c>
    </row>
    <row r="69" spans="1:9" ht="16.5" thickBot="1">
      <c r="A69" s="72"/>
      <c r="B69" s="6" t="s">
        <v>236</v>
      </c>
      <c r="C69" s="6" t="s">
        <v>237</v>
      </c>
      <c r="D69" s="3">
        <v>36.299999999999997</v>
      </c>
      <c r="E69" s="41">
        <f t="shared" si="3"/>
        <v>3.0249999999999999</v>
      </c>
      <c r="F69" s="67">
        <v>2</v>
      </c>
      <c r="G69" s="68"/>
      <c r="H69" s="67">
        <f t="shared" si="4"/>
        <v>0</v>
      </c>
      <c r="I69" s="69">
        <f t="shared" si="5"/>
        <v>0</v>
      </c>
    </row>
    <row r="70" spans="1:9" ht="15.75" customHeight="1">
      <c r="A70" s="76" t="s">
        <v>283</v>
      </c>
      <c r="B70" s="16" t="s">
        <v>136</v>
      </c>
      <c r="C70" s="7" t="s">
        <v>107</v>
      </c>
      <c r="D70" s="8"/>
      <c r="E70" s="39">
        <f t="shared" ref="E70:E84" si="6">D70/12</f>
        <v>0</v>
      </c>
      <c r="F70" s="67">
        <v>25</v>
      </c>
      <c r="G70" s="68">
        <v>24</v>
      </c>
      <c r="H70" s="67">
        <f t="shared" ref="H70:H108" si="7">G70*F70</f>
        <v>600</v>
      </c>
      <c r="I70" s="69">
        <f t="shared" ref="I70:I108" si="8">H70*E70</f>
        <v>0</v>
      </c>
    </row>
    <row r="71" spans="1:9" ht="15.75" customHeight="1">
      <c r="A71" s="77"/>
      <c r="B71" s="4" t="s">
        <v>138</v>
      </c>
      <c r="C71" s="5" t="s">
        <v>139</v>
      </c>
      <c r="D71" s="1">
        <v>0.65</v>
      </c>
      <c r="E71" s="40">
        <f t="shared" si="6"/>
        <v>5.4166666666666669E-2</v>
      </c>
      <c r="F71" s="67">
        <v>25</v>
      </c>
      <c r="G71" s="68">
        <v>24</v>
      </c>
      <c r="H71" s="67">
        <f t="shared" si="7"/>
        <v>600</v>
      </c>
      <c r="I71" s="69">
        <f t="shared" si="8"/>
        <v>32.5</v>
      </c>
    </row>
    <row r="72" spans="1:9" ht="15.75" customHeight="1">
      <c r="A72" s="77"/>
      <c r="B72" s="4" t="s">
        <v>142</v>
      </c>
      <c r="C72" s="5" t="s">
        <v>143</v>
      </c>
      <c r="D72" s="1">
        <v>0.75</v>
      </c>
      <c r="E72" s="40">
        <f t="shared" si="6"/>
        <v>6.25E-2</v>
      </c>
      <c r="F72" s="67">
        <v>25</v>
      </c>
      <c r="G72" s="68">
        <v>24</v>
      </c>
      <c r="H72" s="67">
        <f t="shared" si="7"/>
        <v>600</v>
      </c>
      <c r="I72" s="69">
        <f t="shared" si="8"/>
        <v>37.5</v>
      </c>
    </row>
    <row r="73" spans="1:9" ht="15.75" customHeight="1">
      <c r="A73" s="77"/>
      <c r="B73" s="4" t="s">
        <v>146</v>
      </c>
      <c r="C73" s="5" t="s">
        <v>109</v>
      </c>
      <c r="D73" s="1">
        <v>0.75</v>
      </c>
      <c r="E73" s="40">
        <f t="shared" si="6"/>
        <v>6.25E-2</v>
      </c>
      <c r="F73" s="67">
        <v>25</v>
      </c>
      <c r="G73" s="68">
        <v>24</v>
      </c>
      <c r="H73" s="67">
        <f t="shared" si="7"/>
        <v>600</v>
      </c>
      <c r="I73" s="69">
        <f t="shared" si="8"/>
        <v>37.5</v>
      </c>
    </row>
    <row r="74" spans="1:9" ht="15.75" customHeight="1">
      <c r="A74" s="77"/>
      <c r="B74" s="4" t="s">
        <v>148</v>
      </c>
      <c r="C74" s="5" t="s">
        <v>103</v>
      </c>
      <c r="D74" s="1">
        <v>0.8</v>
      </c>
      <c r="E74" s="40">
        <f t="shared" si="6"/>
        <v>6.6666666666666666E-2</v>
      </c>
      <c r="F74" s="67">
        <v>25</v>
      </c>
      <c r="G74" s="68">
        <v>20</v>
      </c>
      <c r="H74" s="67">
        <f t="shared" si="7"/>
        <v>500</v>
      </c>
      <c r="I74" s="69">
        <f t="shared" si="8"/>
        <v>33.333333333333336</v>
      </c>
    </row>
    <row r="75" spans="1:9" ht="15.75" customHeight="1">
      <c r="A75" s="77"/>
      <c r="B75" s="4" t="s">
        <v>150</v>
      </c>
      <c r="C75" s="5" t="s">
        <v>125</v>
      </c>
      <c r="D75" s="1">
        <v>0.85</v>
      </c>
      <c r="E75" s="40">
        <f t="shared" si="6"/>
        <v>7.0833333333333331E-2</v>
      </c>
      <c r="F75" s="67">
        <v>25</v>
      </c>
      <c r="G75" s="68">
        <v>20</v>
      </c>
      <c r="H75" s="67">
        <f t="shared" si="7"/>
        <v>500</v>
      </c>
      <c r="I75" s="69">
        <f t="shared" si="8"/>
        <v>35.416666666666664</v>
      </c>
    </row>
    <row r="76" spans="1:9" ht="15.75" customHeight="1">
      <c r="A76" s="77"/>
      <c r="B76" s="4" t="s">
        <v>152</v>
      </c>
      <c r="C76" s="5" t="s">
        <v>111</v>
      </c>
      <c r="D76" s="1">
        <v>0.85</v>
      </c>
      <c r="E76" s="40">
        <f t="shared" si="6"/>
        <v>7.0833333333333331E-2</v>
      </c>
      <c r="F76" s="67">
        <v>25</v>
      </c>
      <c r="G76" s="68">
        <v>20</v>
      </c>
      <c r="H76" s="67">
        <f t="shared" si="7"/>
        <v>500</v>
      </c>
      <c r="I76" s="69">
        <f t="shared" si="8"/>
        <v>35.416666666666664</v>
      </c>
    </row>
    <row r="77" spans="1:9" ht="15.75" customHeight="1">
      <c r="A77" s="77"/>
      <c r="B77" s="4" t="s">
        <v>154</v>
      </c>
      <c r="C77" s="5" t="s">
        <v>155</v>
      </c>
      <c r="D77" s="1">
        <v>0.95</v>
      </c>
      <c r="E77" s="40">
        <f t="shared" si="6"/>
        <v>7.9166666666666663E-2</v>
      </c>
      <c r="F77" s="67">
        <v>25</v>
      </c>
      <c r="G77" s="68">
        <v>16</v>
      </c>
      <c r="H77" s="67">
        <f t="shared" si="7"/>
        <v>400</v>
      </c>
      <c r="I77" s="69">
        <f t="shared" si="8"/>
        <v>31.666666666666664</v>
      </c>
    </row>
    <row r="78" spans="1:9" ht="15.75" customHeight="1">
      <c r="A78" s="77"/>
      <c r="B78" s="4" t="s">
        <v>158</v>
      </c>
      <c r="C78" s="5" t="s">
        <v>127</v>
      </c>
      <c r="D78" s="1">
        <v>0.95</v>
      </c>
      <c r="E78" s="40">
        <f t="shared" si="6"/>
        <v>7.9166666666666663E-2</v>
      </c>
      <c r="F78" s="67">
        <v>25</v>
      </c>
      <c r="G78" s="68">
        <v>16</v>
      </c>
      <c r="H78" s="67">
        <f t="shared" si="7"/>
        <v>400</v>
      </c>
      <c r="I78" s="69">
        <f t="shared" si="8"/>
        <v>31.666666666666664</v>
      </c>
    </row>
    <row r="79" spans="1:9" ht="15.75" customHeight="1">
      <c r="A79" s="77"/>
      <c r="B79" s="4" t="s">
        <v>160</v>
      </c>
      <c r="C79" s="5" t="s">
        <v>135</v>
      </c>
      <c r="D79" s="1">
        <v>1.05</v>
      </c>
      <c r="E79" s="40">
        <f t="shared" si="6"/>
        <v>8.7500000000000008E-2</v>
      </c>
      <c r="F79" s="67">
        <v>25</v>
      </c>
      <c r="G79" s="68">
        <v>16</v>
      </c>
      <c r="H79" s="67">
        <f t="shared" si="7"/>
        <v>400</v>
      </c>
      <c r="I79" s="69">
        <f t="shared" si="8"/>
        <v>35</v>
      </c>
    </row>
    <row r="80" spans="1:9" ht="15.75" customHeight="1">
      <c r="A80" s="77"/>
      <c r="B80" s="4" t="s">
        <v>162</v>
      </c>
      <c r="C80" s="5" t="s">
        <v>163</v>
      </c>
      <c r="D80" s="1">
        <v>1.05</v>
      </c>
      <c r="E80" s="40">
        <f t="shared" si="6"/>
        <v>8.7500000000000008E-2</v>
      </c>
      <c r="F80" s="67">
        <v>25</v>
      </c>
      <c r="G80" s="68">
        <v>16</v>
      </c>
      <c r="H80" s="67">
        <f t="shared" si="7"/>
        <v>400</v>
      </c>
      <c r="I80" s="69">
        <f t="shared" si="8"/>
        <v>35</v>
      </c>
    </row>
    <row r="81" spans="1:9" ht="15.75" customHeight="1">
      <c r="A81" s="77"/>
      <c r="B81" s="18" t="s">
        <v>166</v>
      </c>
      <c r="C81" s="34" t="s">
        <v>167</v>
      </c>
      <c r="D81" s="23">
        <v>1.1499999999999999</v>
      </c>
      <c r="E81" s="40">
        <f t="shared" si="6"/>
        <v>9.5833333333333326E-2</v>
      </c>
      <c r="F81" s="67">
        <v>25</v>
      </c>
      <c r="G81" s="68">
        <v>16</v>
      </c>
      <c r="H81" s="67">
        <f t="shared" si="7"/>
        <v>400</v>
      </c>
      <c r="I81" s="69">
        <f t="shared" si="8"/>
        <v>38.333333333333329</v>
      </c>
    </row>
    <row r="82" spans="1:9" ht="15.75" customHeight="1" thickBot="1">
      <c r="A82" s="78"/>
      <c r="B82" s="2" t="s">
        <v>170</v>
      </c>
      <c r="C82" s="6" t="s">
        <v>171</v>
      </c>
      <c r="D82" s="3"/>
      <c r="E82" s="41">
        <f t="shared" si="6"/>
        <v>0</v>
      </c>
      <c r="F82" s="67">
        <v>25</v>
      </c>
      <c r="G82" s="68">
        <v>16</v>
      </c>
      <c r="H82" s="67">
        <f t="shared" si="7"/>
        <v>400</v>
      </c>
      <c r="I82" s="69">
        <f t="shared" si="8"/>
        <v>0</v>
      </c>
    </row>
    <row r="83" spans="1:9" ht="15.75">
      <c r="A83" s="76" t="s">
        <v>284</v>
      </c>
      <c r="B83" s="16" t="s">
        <v>137</v>
      </c>
      <c r="C83" s="7" t="s">
        <v>69</v>
      </c>
      <c r="D83" s="43">
        <v>0.85</v>
      </c>
      <c r="E83" s="39">
        <f t="shared" si="6"/>
        <v>7.0833333333333331E-2</v>
      </c>
      <c r="F83" s="67">
        <v>20</v>
      </c>
      <c r="G83" s="68">
        <v>24</v>
      </c>
      <c r="H83" s="67">
        <f t="shared" si="7"/>
        <v>480</v>
      </c>
      <c r="I83" s="69">
        <f t="shared" si="8"/>
        <v>34</v>
      </c>
    </row>
    <row r="84" spans="1:9" ht="15.75">
      <c r="A84" s="77"/>
      <c r="B84" s="4" t="s">
        <v>140</v>
      </c>
      <c r="C84" s="5" t="s">
        <v>141</v>
      </c>
      <c r="D84" s="44">
        <v>0.9</v>
      </c>
      <c r="E84" s="40">
        <f t="shared" si="6"/>
        <v>7.4999999999999997E-2</v>
      </c>
      <c r="F84" s="67">
        <v>20</v>
      </c>
      <c r="G84" s="68">
        <v>24</v>
      </c>
      <c r="H84" s="67">
        <f t="shared" si="7"/>
        <v>480</v>
      </c>
      <c r="I84" s="69">
        <f t="shared" si="8"/>
        <v>36</v>
      </c>
    </row>
    <row r="85" spans="1:9" ht="15.75">
      <c r="A85" s="77"/>
      <c r="B85" s="4" t="s">
        <v>144</v>
      </c>
      <c r="C85" s="5" t="s">
        <v>145</v>
      </c>
      <c r="D85" s="44">
        <v>1</v>
      </c>
      <c r="E85" s="40">
        <f t="shared" ref="E85:E154" si="9">D85/12</f>
        <v>8.3333333333333329E-2</v>
      </c>
      <c r="F85" s="67">
        <v>20</v>
      </c>
      <c r="G85" s="68">
        <v>20</v>
      </c>
      <c r="H85" s="67">
        <f t="shared" si="7"/>
        <v>400</v>
      </c>
      <c r="I85" s="69">
        <f t="shared" si="8"/>
        <v>33.333333333333329</v>
      </c>
    </row>
    <row r="86" spans="1:9" ht="15.75">
      <c r="A86" s="77"/>
      <c r="B86" s="4" t="s">
        <v>147</v>
      </c>
      <c r="C86" s="5" t="s">
        <v>71</v>
      </c>
      <c r="D86" s="44">
        <v>1</v>
      </c>
      <c r="E86" s="40">
        <f t="shared" si="9"/>
        <v>8.3333333333333329E-2</v>
      </c>
      <c r="F86" s="67">
        <v>20</v>
      </c>
      <c r="G86" s="68">
        <v>20</v>
      </c>
      <c r="H86" s="67">
        <f t="shared" si="7"/>
        <v>400</v>
      </c>
      <c r="I86" s="69">
        <f t="shared" si="8"/>
        <v>33.333333333333329</v>
      </c>
    </row>
    <row r="87" spans="1:9" ht="15.75">
      <c r="A87" s="77"/>
      <c r="B87" s="4" t="s">
        <v>149</v>
      </c>
      <c r="C87" s="5" t="s">
        <v>65</v>
      </c>
      <c r="D87" s="44">
        <v>1.1000000000000001</v>
      </c>
      <c r="E87" s="40">
        <f t="shared" si="9"/>
        <v>9.1666666666666674E-2</v>
      </c>
      <c r="F87" s="67">
        <v>20</v>
      </c>
      <c r="G87" s="68">
        <v>20</v>
      </c>
      <c r="H87" s="67">
        <f t="shared" si="7"/>
        <v>400</v>
      </c>
      <c r="I87" s="69">
        <f t="shared" si="8"/>
        <v>36.666666666666671</v>
      </c>
    </row>
    <row r="88" spans="1:9" ht="15.75">
      <c r="A88" s="77"/>
      <c r="B88" s="4" t="s">
        <v>151</v>
      </c>
      <c r="C88" s="5" t="s">
        <v>85</v>
      </c>
      <c r="D88" s="44">
        <v>1.1499999999999999</v>
      </c>
      <c r="E88" s="40">
        <f t="shared" si="9"/>
        <v>9.5833333333333326E-2</v>
      </c>
      <c r="F88" s="67">
        <v>20</v>
      </c>
      <c r="G88" s="68">
        <v>20</v>
      </c>
      <c r="H88" s="67">
        <f t="shared" si="7"/>
        <v>400</v>
      </c>
      <c r="I88" s="69">
        <f t="shared" si="8"/>
        <v>38.333333333333329</v>
      </c>
    </row>
    <row r="89" spans="1:9" ht="15.75">
      <c r="A89" s="77"/>
      <c r="B89" s="4" t="s">
        <v>153</v>
      </c>
      <c r="C89" s="5" t="s">
        <v>73</v>
      </c>
      <c r="D89" s="44">
        <v>1.1499999999999999</v>
      </c>
      <c r="E89" s="40">
        <f t="shared" si="9"/>
        <v>9.5833333333333326E-2</v>
      </c>
      <c r="F89" s="67">
        <v>20</v>
      </c>
      <c r="G89" s="68">
        <v>20</v>
      </c>
      <c r="H89" s="67">
        <f t="shared" si="7"/>
        <v>400</v>
      </c>
      <c r="I89" s="69">
        <f t="shared" si="8"/>
        <v>38.333333333333329</v>
      </c>
    </row>
    <row r="90" spans="1:9" ht="15.75">
      <c r="A90" s="77"/>
      <c r="B90" s="4" t="s">
        <v>156</v>
      </c>
      <c r="C90" s="5" t="s">
        <v>157</v>
      </c>
      <c r="D90" s="44">
        <v>1.25</v>
      </c>
      <c r="E90" s="40">
        <f t="shared" si="9"/>
        <v>0.10416666666666667</v>
      </c>
      <c r="F90" s="67">
        <v>20</v>
      </c>
      <c r="G90" s="68">
        <v>16</v>
      </c>
      <c r="H90" s="67">
        <f t="shared" si="7"/>
        <v>320</v>
      </c>
      <c r="I90" s="69">
        <f t="shared" si="8"/>
        <v>33.333333333333336</v>
      </c>
    </row>
    <row r="91" spans="1:9" ht="15.75">
      <c r="A91" s="77"/>
      <c r="B91" s="4" t="s">
        <v>159</v>
      </c>
      <c r="C91" s="5" t="s">
        <v>87</v>
      </c>
      <c r="D91" s="44">
        <v>1.25</v>
      </c>
      <c r="E91" s="40">
        <f t="shared" si="9"/>
        <v>0.10416666666666667</v>
      </c>
      <c r="F91" s="67">
        <v>20</v>
      </c>
      <c r="G91" s="68">
        <v>16</v>
      </c>
      <c r="H91" s="67">
        <f t="shared" si="7"/>
        <v>320</v>
      </c>
      <c r="I91" s="69">
        <f t="shared" si="8"/>
        <v>33.333333333333336</v>
      </c>
    </row>
    <row r="92" spans="1:9" ht="15.75">
      <c r="A92" s="77"/>
      <c r="B92" s="4" t="s">
        <v>161</v>
      </c>
      <c r="C92" s="5" t="s">
        <v>95</v>
      </c>
      <c r="D92" s="44">
        <v>1.4</v>
      </c>
      <c r="E92" s="40">
        <f t="shared" si="9"/>
        <v>0.11666666666666665</v>
      </c>
      <c r="F92" s="67">
        <v>20</v>
      </c>
      <c r="G92" s="68">
        <v>16</v>
      </c>
      <c r="H92" s="67">
        <f t="shared" si="7"/>
        <v>320</v>
      </c>
      <c r="I92" s="69">
        <f t="shared" si="8"/>
        <v>37.333333333333329</v>
      </c>
    </row>
    <row r="93" spans="1:9" ht="15.75">
      <c r="A93" s="77"/>
      <c r="B93" s="4" t="s">
        <v>164</v>
      </c>
      <c r="C93" s="5" t="s">
        <v>165</v>
      </c>
      <c r="D93" s="44">
        <v>1.4</v>
      </c>
      <c r="E93" s="40">
        <f t="shared" si="9"/>
        <v>0.11666666666666665</v>
      </c>
      <c r="F93" s="67">
        <v>20</v>
      </c>
      <c r="G93" s="68">
        <v>16</v>
      </c>
      <c r="H93" s="67">
        <f t="shared" si="7"/>
        <v>320</v>
      </c>
      <c r="I93" s="69">
        <f t="shared" si="8"/>
        <v>37.333333333333329</v>
      </c>
    </row>
    <row r="94" spans="1:9" ht="15.75">
      <c r="A94" s="77"/>
      <c r="B94" s="18" t="s">
        <v>168</v>
      </c>
      <c r="C94" s="34" t="s">
        <v>169</v>
      </c>
      <c r="D94" s="28">
        <v>1.55</v>
      </c>
      <c r="E94" s="40">
        <f t="shared" si="9"/>
        <v>0.12916666666666668</v>
      </c>
      <c r="F94" s="67">
        <v>20</v>
      </c>
      <c r="G94" s="68">
        <v>12</v>
      </c>
      <c r="H94" s="67">
        <f t="shared" si="7"/>
        <v>240</v>
      </c>
      <c r="I94" s="69">
        <f t="shared" si="8"/>
        <v>31.000000000000004</v>
      </c>
    </row>
    <row r="95" spans="1:9" ht="16.5" thickBot="1">
      <c r="A95" s="78"/>
      <c r="B95" s="2" t="s">
        <v>172</v>
      </c>
      <c r="C95" s="6" t="s">
        <v>173</v>
      </c>
      <c r="D95" s="42"/>
      <c r="E95" s="41">
        <f t="shared" si="9"/>
        <v>0</v>
      </c>
      <c r="F95" s="67">
        <v>20</v>
      </c>
      <c r="G95" s="68">
        <v>16</v>
      </c>
      <c r="H95" s="67">
        <f t="shared" si="7"/>
        <v>320</v>
      </c>
      <c r="I95" s="69">
        <f t="shared" si="8"/>
        <v>0</v>
      </c>
    </row>
    <row r="96" spans="1:9" ht="15.75">
      <c r="A96" s="76" t="s">
        <v>286</v>
      </c>
      <c r="B96" s="19" t="s">
        <v>96</v>
      </c>
      <c r="C96" s="33" t="s">
        <v>97</v>
      </c>
      <c r="D96" s="27">
        <v>1.05</v>
      </c>
      <c r="E96" s="39">
        <f t="shared" si="9"/>
        <v>8.7500000000000008E-2</v>
      </c>
      <c r="F96" s="67">
        <v>12</v>
      </c>
      <c r="G96" s="68">
        <v>24</v>
      </c>
      <c r="H96" s="67">
        <f t="shared" si="7"/>
        <v>288</v>
      </c>
      <c r="I96" s="69">
        <f t="shared" si="8"/>
        <v>25.200000000000003</v>
      </c>
    </row>
    <row r="97" spans="1:9" ht="15.75">
      <c r="A97" s="77"/>
      <c r="B97" s="18" t="s">
        <v>98</v>
      </c>
      <c r="C97" s="34" t="s">
        <v>99</v>
      </c>
      <c r="D97" s="28">
        <v>1.1499999999999999</v>
      </c>
      <c r="E97" s="40">
        <f t="shared" si="9"/>
        <v>9.5833333333333326E-2</v>
      </c>
      <c r="F97" s="67">
        <v>12</v>
      </c>
      <c r="G97" s="68">
        <v>24</v>
      </c>
      <c r="H97" s="67">
        <f t="shared" si="7"/>
        <v>288</v>
      </c>
      <c r="I97" s="69">
        <f t="shared" si="8"/>
        <v>27.599999999999998</v>
      </c>
    </row>
    <row r="98" spans="1:9" ht="15.75">
      <c r="A98" s="77"/>
      <c r="B98" s="18" t="s">
        <v>100</v>
      </c>
      <c r="C98" s="34" t="s">
        <v>101</v>
      </c>
      <c r="D98" s="28">
        <v>1.2250000000000001</v>
      </c>
      <c r="E98" s="40">
        <f t="shared" si="9"/>
        <v>0.10208333333333335</v>
      </c>
      <c r="F98" s="67">
        <v>12</v>
      </c>
      <c r="G98" s="68">
        <v>24</v>
      </c>
      <c r="H98" s="67">
        <f t="shared" si="7"/>
        <v>288</v>
      </c>
      <c r="I98" s="69">
        <f t="shared" si="8"/>
        <v>29.400000000000002</v>
      </c>
    </row>
    <row r="99" spans="1:9" ht="16.5" thickBot="1">
      <c r="A99" s="77"/>
      <c r="B99" s="20" t="s">
        <v>102</v>
      </c>
      <c r="C99" s="35" t="s">
        <v>103</v>
      </c>
      <c r="D99" s="29">
        <v>1.375</v>
      </c>
      <c r="E99" s="41">
        <f t="shared" si="9"/>
        <v>0.11458333333333333</v>
      </c>
      <c r="F99" s="67">
        <v>12</v>
      </c>
      <c r="G99" s="68">
        <v>24</v>
      </c>
      <c r="H99" s="67">
        <f t="shared" si="7"/>
        <v>288</v>
      </c>
      <c r="I99" s="69">
        <f t="shared" si="8"/>
        <v>33</v>
      </c>
    </row>
    <row r="100" spans="1:9" ht="15.75">
      <c r="A100" s="77"/>
      <c r="B100" s="19" t="s">
        <v>104</v>
      </c>
      <c r="C100" s="33" t="s">
        <v>105</v>
      </c>
      <c r="D100" s="27">
        <v>1.175</v>
      </c>
      <c r="E100" s="39">
        <f t="shared" si="9"/>
        <v>9.7916666666666666E-2</v>
      </c>
      <c r="F100" s="67">
        <v>12</v>
      </c>
      <c r="G100" s="68">
        <v>24</v>
      </c>
      <c r="H100" s="67">
        <f t="shared" si="7"/>
        <v>288</v>
      </c>
      <c r="I100" s="69">
        <f t="shared" si="8"/>
        <v>28.2</v>
      </c>
    </row>
    <row r="101" spans="1:9" ht="15.75">
      <c r="A101" s="77"/>
      <c r="B101" s="18" t="s">
        <v>106</v>
      </c>
      <c r="C101" s="34" t="s">
        <v>107</v>
      </c>
      <c r="D101" s="28">
        <v>1.2749999999999999</v>
      </c>
      <c r="E101" s="40">
        <f t="shared" si="9"/>
        <v>0.10625</v>
      </c>
      <c r="F101" s="67">
        <v>12</v>
      </c>
      <c r="G101" s="68">
        <v>24</v>
      </c>
      <c r="H101" s="67">
        <f t="shared" si="7"/>
        <v>288</v>
      </c>
      <c r="I101" s="69">
        <f t="shared" si="8"/>
        <v>30.599999999999998</v>
      </c>
    </row>
    <row r="102" spans="1:9" ht="15.75">
      <c r="A102" s="77"/>
      <c r="B102" s="18" t="s">
        <v>108</v>
      </c>
      <c r="C102" s="34" t="s">
        <v>109</v>
      </c>
      <c r="D102" s="28">
        <v>1.375</v>
      </c>
      <c r="E102" s="40">
        <f t="shared" si="9"/>
        <v>0.11458333333333333</v>
      </c>
      <c r="F102" s="67">
        <v>12</v>
      </c>
      <c r="G102" s="68">
        <v>24</v>
      </c>
      <c r="H102" s="67">
        <f t="shared" si="7"/>
        <v>288</v>
      </c>
      <c r="I102" s="69">
        <f t="shared" si="8"/>
        <v>33</v>
      </c>
    </row>
    <row r="103" spans="1:9" ht="16.5" thickBot="1">
      <c r="A103" s="77"/>
      <c r="B103" s="20" t="s">
        <v>110</v>
      </c>
      <c r="C103" s="35" t="s">
        <v>111</v>
      </c>
      <c r="D103" s="29">
        <v>1.5249999999999999</v>
      </c>
      <c r="E103" s="41">
        <f t="shared" si="9"/>
        <v>0.12708333333333333</v>
      </c>
      <c r="F103" s="67">
        <v>12</v>
      </c>
      <c r="G103" s="68">
        <v>24</v>
      </c>
      <c r="H103" s="67">
        <f t="shared" si="7"/>
        <v>288</v>
      </c>
      <c r="I103" s="69">
        <f t="shared" si="8"/>
        <v>36.599999999999994</v>
      </c>
    </row>
    <row r="104" spans="1:9" ht="15.75">
      <c r="A104" s="77"/>
      <c r="B104" s="19" t="s">
        <v>112</v>
      </c>
      <c r="C104" s="33" t="s">
        <v>113</v>
      </c>
      <c r="D104" s="27">
        <v>1.375</v>
      </c>
      <c r="E104" s="39">
        <f t="shared" si="9"/>
        <v>0.11458333333333333</v>
      </c>
      <c r="F104" s="67">
        <v>12</v>
      </c>
      <c r="G104" s="68">
        <v>24</v>
      </c>
      <c r="H104" s="67">
        <f t="shared" si="7"/>
        <v>288</v>
      </c>
      <c r="I104" s="69">
        <f t="shared" si="8"/>
        <v>33</v>
      </c>
    </row>
    <row r="105" spans="1:9" ht="15.75">
      <c r="A105" s="77"/>
      <c r="B105" s="18" t="s">
        <v>114</v>
      </c>
      <c r="C105" s="34" t="s">
        <v>115</v>
      </c>
      <c r="D105" s="28">
        <v>1.4750000000000001</v>
      </c>
      <c r="E105" s="40">
        <f t="shared" si="9"/>
        <v>0.12291666666666667</v>
      </c>
      <c r="F105" s="67">
        <v>12</v>
      </c>
      <c r="G105" s="68">
        <v>24</v>
      </c>
      <c r="H105" s="67">
        <f t="shared" si="7"/>
        <v>288</v>
      </c>
      <c r="I105" s="69">
        <f t="shared" si="8"/>
        <v>35.400000000000006</v>
      </c>
    </row>
    <row r="106" spans="1:9" ht="15.75">
      <c r="A106" s="77"/>
      <c r="B106" s="18" t="s">
        <v>116</v>
      </c>
      <c r="C106" s="34" t="s">
        <v>117</v>
      </c>
      <c r="D106" s="28">
        <v>1.575</v>
      </c>
      <c r="E106" s="40">
        <f t="shared" si="9"/>
        <v>0.13125000000000001</v>
      </c>
      <c r="F106" s="67">
        <v>12</v>
      </c>
      <c r="G106" s="68">
        <v>24</v>
      </c>
      <c r="H106" s="67">
        <f t="shared" si="7"/>
        <v>288</v>
      </c>
      <c r="I106" s="69">
        <f t="shared" si="8"/>
        <v>37.800000000000004</v>
      </c>
    </row>
    <row r="107" spans="1:9" ht="16.5" thickBot="1">
      <c r="A107" s="77"/>
      <c r="B107" s="20" t="s">
        <v>118</v>
      </c>
      <c r="C107" s="35" t="s">
        <v>119</v>
      </c>
      <c r="D107" s="29">
        <v>1.675</v>
      </c>
      <c r="E107" s="41">
        <f t="shared" si="9"/>
        <v>0.13958333333333334</v>
      </c>
      <c r="F107" s="67">
        <v>12</v>
      </c>
      <c r="G107" s="68">
        <v>24</v>
      </c>
      <c r="H107" s="67">
        <f t="shared" si="7"/>
        <v>288</v>
      </c>
      <c r="I107" s="69">
        <f t="shared" si="8"/>
        <v>40.200000000000003</v>
      </c>
    </row>
    <row r="108" spans="1:9" ht="15.75">
      <c r="A108" s="77"/>
      <c r="B108" s="19" t="s">
        <v>120</v>
      </c>
      <c r="C108" s="33" t="s">
        <v>121</v>
      </c>
      <c r="D108" s="27">
        <v>1.375</v>
      </c>
      <c r="E108" s="39">
        <f t="shared" si="9"/>
        <v>0.11458333333333333</v>
      </c>
      <c r="F108" s="67">
        <v>12</v>
      </c>
      <c r="G108" s="68">
        <v>24</v>
      </c>
      <c r="H108" s="67">
        <f t="shared" si="7"/>
        <v>288</v>
      </c>
      <c r="I108" s="69">
        <f t="shared" si="8"/>
        <v>33</v>
      </c>
    </row>
    <row r="109" spans="1:9" ht="15.75">
      <c r="A109" s="77"/>
      <c r="B109" s="18" t="s">
        <v>122</v>
      </c>
      <c r="C109" s="34" t="s">
        <v>123</v>
      </c>
      <c r="D109" s="28">
        <v>1.4750000000000001</v>
      </c>
      <c r="E109" s="40">
        <f t="shared" si="9"/>
        <v>0.12291666666666667</v>
      </c>
      <c r="F109" s="67">
        <v>12</v>
      </c>
      <c r="G109" s="68">
        <v>24</v>
      </c>
      <c r="H109" s="67">
        <f t="shared" ref="H109:H173" si="10">G109*F109</f>
        <v>288</v>
      </c>
      <c r="I109" s="69">
        <f t="shared" ref="I109:I173" si="11">H109*E109</f>
        <v>35.400000000000006</v>
      </c>
    </row>
    <row r="110" spans="1:9" ht="15.75">
      <c r="A110" s="77"/>
      <c r="B110" s="18" t="s">
        <v>124</v>
      </c>
      <c r="C110" s="34" t="s">
        <v>125</v>
      </c>
      <c r="D110" s="28">
        <v>1.625</v>
      </c>
      <c r="E110" s="40">
        <f t="shared" si="9"/>
        <v>0.13541666666666666</v>
      </c>
      <c r="F110" s="67">
        <v>12</v>
      </c>
      <c r="G110" s="68">
        <v>24</v>
      </c>
      <c r="H110" s="67">
        <f t="shared" si="10"/>
        <v>288</v>
      </c>
      <c r="I110" s="69">
        <f t="shared" si="11"/>
        <v>39</v>
      </c>
    </row>
    <row r="111" spans="1:9" ht="16.5" thickBot="1">
      <c r="A111" s="77"/>
      <c r="B111" s="20" t="s">
        <v>126</v>
      </c>
      <c r="C111" s="35" t="s">
        <v>127</v>
      </c>
      <c r="D111" s="29">
        <v>1.7</v>
      </c>
      <c r="E111" s="41">
        <f t="shared" si="9"/>
        <v>0.14166666666666666</v>
      </c>
      <c r="F111" s="67">
        <v>12</v>
      </c>
      <c r="G111" s="68">
        <v>24</v>
      </c>
      <c r="H111" s="67">
        <f t="shared" si="10"/>
        <v>288</v>
      </c>
      <c r="I111" s="69">
        <f t="shared" si="11"/>
        <v>40.799999999999997</v>
      </c>
    </row>
    <row r="112" spans="1:9" ht="15.75">
      <c r="A112" s="77"/>
      <c r="B112" s="19" t="s">
        <v>128</v>
      </c>
      <c r="C112" s="33" t="s">
        <v>129</v>
      </c>
      <c r="D112" s="27">
        <v>1.625</v>
      </c>
      <c r="E112" s="39">
        <f t="shared" si="9"/>
        <v>0.13541666666666666</v>
      </c>
      <c r="F112" s="67">
        <v>12</v>
      </c>
      <c r="G112" s="68">
        <v>20</v>
      </c>
      <c r="H112" s="67">
        <f t="shared" si="10"/>
        <v>240</v>
      </c>
      <c r="I112" s="69">
        <f t="shared" si="11"/>
        <v>32.5</v>
      </c>
    </row>
    <row r="113" spans="1:9" ht="15.75">
      <c r="A113" s="77"/>
      <c r="B113" s="18" t="s">
        <v>130</v>
      </c>
      <c r="C113" s="34" t="s">
        <v>131</v>
      </c>
      <c r="D113" s="28">
        <v>1.7250000000000001</v>
      </c>
      <c r="E113" s="40">
        <f t="shared" si="9"/>
        <v>0.14375000000000002</v>
      </c>
      <c r="F113" s="67">
        <v>12</v>
      </c>
      <c r="G113" s="68">
        <v>20</v>
      </c>
      <c r="H113" s="67">
        <f t="shared" si="10"/>
        <v>240</v>
      </c>
      <c r="I113" s="69">
        <f t="shared" si="11"/>
        <v>34.500000000000007</v>
      </c>
    </row>
    <row r="114" spans="1:9" ht="15.75">
      <c r="A114" s="77"/>
      <c r="B114" s="18" t="s">
        <v>132</v>
      </c>
      <c r="C114" s="34" t="s">
        <v>133</v>
      </c>
      <c r="D114" s="28">
        <v>1.875</v>
      </c>
      <c r="E114" s="40">
        <f t="shared" si="9"/>
        <v>0.15625</v>
      </c>
      <c r="F114" s="67">
        <v>12</v>
      </c>
      <c r="G114" s="68">
        <v>20</v>
      </c>
      <c r="H114" s="67">
        <f t="shared" si="10"/>
        <v>240</v>
      </c>
      <c r="I114" s="69">
        <f t="shared" si="11"/>
        <v>37.5</v>
      </c>
    </row>
    <row r="115" spans="1:9" ht="16.5" thickBot="1">
      <c r="A115" s="77"/>
      <c r="B115" s="20" t="s">
        <v>134</v>
      </c>
      <c r="C115" s="35" t="s">
        <v>135</v>
      </c>
      <c r="D115" s="29">
        <v>2.0499999999999998</v>
      </c>
      <c r="E115" s="41">
        <f t="shared" si="9"/>
        <v>0.17083333333333331</v>
      </c>
      <c r="F115" s="67">
        <v>12</v>
      </c>
      <c r="G115" s="68">
        <v>20</v>
      </c>
      <c r="H115" s="67">
        <f t="shared" si="10"/>
        <v>240</v>
      </c>
      <c r="I115" s="69">
        <f t="shared" si="11"/>
        <v>40.999999999999993</v>
      </c>
    </row>
    <row r="116" spans="1:9" ht="15.75">
      <c r="A116" s="79" t="s">
        <v>314</v>
      </c>
      <c r="B116" s="19" t="s">
        <v>96</v>
      </c>
      <c r="C116" s="33" t="s">
        <v>97</v>
      </c>
      <c r="D116" s="27">
        <v>1.1000000000000001</v>
      </c>
      <c r="E116" s="39">
        <f t="shared" ref="E116:E135" si="12">D116/12</f>
        <v>9.1666666666666674E-2</v>
      </c>
      <c r="F116" s="67">
        <v>12</v>
      </c>
      <c r="G116" s="68">
        <v>24</v>
      </c>
      <c r="H116" s="67">
        <f t="shared" si="10"/>
        <v>288</v>
      </c>
      <c r="I116" s="69">
        <f t="shared" si="11"/>
        <v>26.400000000000002</v>
      </c>
    </row>
    <row r="117" spans="1:9" ht="15.75">
      <c r="A117" s="80"/>
      <c r="B117" s="18" t="s">
        <v>98</v>
      </c>
      <c r="C117" s="34" t="s">
        <v>99</v>
      </c>
      <c r="D117" s="28">
        <v>1.175</v>
      </c>
      <c r="E117" s="40">
        <f t="shared" si="12"/>
        <v>9.7916666666666666E-2</v>
      </c>
      <c r="F117" s="67">
        <v>12</v>
      </c>
      <c r="G117" s="68">
        <v>24</v>
      </c>
      <c r="H117" s="67">
        <f t="shared" si="10"/>
        <v>288</v>
      </c>
      <c r="I117" s="69">
        <f t="shared" si="11"/>
        <v>28.2</v>
      </c>
    </row>
    <row r="118" spans="1:9" ht="15.75">
      <c r="A118" s="80"/>
      <c r="B118" s="18" t="s">
        <v>100</v>
      </c>
      <c r="C118" s="34" t="s">
        <v>101</v>
      </c>
      <c r="D118" s="28">
        <v>2.25</v>
      </c>
      <c r="E118" s="40">
        <f t="shared" si="12"/>
        <v>0.1875</v>
      </c>
      <c r="F118" s="67">
        <v>12</v>
      </c>
      <c r="G118" s="68">
        <v>24</v>
      </c>
      <c r="H118" s="67">
        <f t="shared" si="10"/>
        <v>288</v>
      </c>
      <c r="I118" s="69">
        <f t="shared" si="11"/>
        <v>54</v>
      </c>
    </row>
    <row r="119" spans="1:9" ht="16.5" thickBot="1">
      <c r="A119" s="80"/>
      <c r="B119" s="20" t="s">
        <v>102</v>
      </c>
      <c r="C119" s="35" t="s">
        <v>103</v>
      </c>
      <c r="D119" s="29">
        <v>1.4</v>
      </c>
      <c r="E119" s="41">
        <f t="shared" si="12"/>
        <v>0.11666666666666665</v>
      </c>
      <c r="F119" s="67">
        <v>12</v>
      </c>
      <c r="G119" s="68">
        <v>24</v>
      </c>
      <c r="H119" s="67">
        <f t="shared" si="10"/>
        <v>288</v>
      </c>
      <c r="I119" s="69">
        <f t="shared" si="11"/>
        <v>33.599999999999994</v>
      </c>
    </row>
    <row r="120" spans="1:9" ht="15.75">
      <c r="A120" s="80"/>
      <c r="B120" s="19" t="s">
        <v>104</v>
      </c>
      <c r="C120" s="33" t="s">
        <v>105</v>
      </c>
      <c r="D120" s="27">
        <v>1.2</v>
      </c>
      <c r="E120" s="39">
        <f t="shared" si="12"/>
        <v>9.9999999999999992E-2</v>
      </c>
      <c r="F120" s="67">
        <v>12</v>
      </c>
      <c r="G120" s="68">
        <v>24</v>
      </c>
      <c r="H120" s="67">
        <f t="shared" si="10"/>
        <v>288</v>
      </c>
      <c r="I120" s="69">
        <f t="shared" si="11"/>
        <v>28.799999999999997</v>
      </c>
    </row>
    <row r="121" spans="1:9" ht="15.75">
      <c r="A121" s="80"/>
      <c r="B121" s="18" t="s">
        <v>106</v>
      </c>
      <c r="C121" s="34" t="s">
        <v>107</v>
      </c>
      <c r="D121" s="28">
        <v>1.3</v>
      </c>
      <c r="E121" s="40">
        <f t="shared" si="12"/>
        <v>0.10833333333333334</v>
      </c>
      <c r="F121" s="67">
        <v>12</v>
      </c>
      <c r="G121" s="68">
        <v>24</v>
      </c>
      <c r="H121" s="67">
        <f t="shared" si="10"/>
        <v>288</v>
      </c>
      <c r="I121" s="69">
        <f t="shared" si="11"/>
        <v>31.200000000000003</v>
      </c>
    </row>
    <row r="122" spans="1:9" ht="15.75">
      <c r="A122" s="80"/>
      <c r="B122" s="18" t="s">
        <v>108</v>
      </c>
      <c r="C122" s="34" t="s">
        <v>109</v>
      </c>
      <c r="D122" s="28">
        <v>1.4</v>
      </c>
      <c r="E122" s="40">
        <f t="shared" si="12"/>
        <v>0.11666666666666665</v>
      </c>
      <c r="F122" s="67">
        <v>12</v>
      </c>
      <c r="G122" s="68">
        <v>24</v>
      </c>
      <c r="H122" s="67">
        <f t="shared" si="10"/>
        <v>288</v>
      </c>
      <c r="I122" s="69">
        <f t="shared" si="11"/>
        <v>33.599999999999994</v>
      </c>
    </row>
    <row r="123" spans="1:9" ht="16.5" thickBot="1">
      <c r="A123" s="80"/>
      <c r="B123" s="20" t="s">
        <v>110</v>
      </c>
      <c r="C123" s="35" t="s">
        <v>111</v>
      </c>
      <c r="D123" s="29">
        <v>1.55</v>
      </c>
      <c r="E123" s="41">
        <f t="shared" si="12"/>
        <v>0.12916666666666668</v>
      </c>
      <c r="F123" s="67">
        <v>12</v>
      </c>
      <c r="G123" s="68">
        <v>24</v>
      </c>
      <c r="H123" s="67">
        <f t="shared" si="10"/>
        <v>288</v>
      </c>
      <c r="I123" s="69">
        <f t="shared" si="11"/>
        <v>37.200000000000003</v>
      </c>
    </row>
    <row r="124" spans="1:9" ht="15.75">
      <c r="A124" s="80"/>
      <c r="B124" s="19" t="s">
        <v>112</v>
      </c>
      <c r="C124" s="33" t="s">
        <v>113</v>
      </c>
      <c r="D124" s="27">
        <v>1.4</v>
      </c>
      <c r="E124" s="39">
        <f t="shared" si="12"/>
        <v>0.11666666666666665</v>
      </c>
      <c r="F124" s="67">
        <v>12</v>
      </c>
      <c r="G124" s="68">
        <v>24</v>
      </c>
      <c r="H124" s="67">
        <f t="shared" si="10"/>
        <v>288</v>
      </c>
      <c r="I124" s="69">
        <f t="shared" si="11"/>
        <v>33.599999999999994</v>
      </c>
    </row>
    <row r="125" spans="1:9" ht="15.75">
      <c r="A125" s="80"/>
      <c r="B125" s="18" t="s">
        <v>114</v>
      </c>
      <c r="C125" s="34" t="s">
        <v>115</v>
      </c>
      <c r="D125" s="28">
        <v>1.5</v>
      </c>
      <c r="E125" s="40">
        <f t="shared" si="12"/>
        <v>0.125</v>
      </c>
      <c r="F125" s="67">
        <v>12</v>
      </c>
      <c r="G125" s="68">
        <v>24</v>
      </c>
      <c r="H125" s="67">
        <f t="shared" si="10"/>
        <v>288</v>
      </c>
      <c r="I125" s="69">
        <f t="shared" si="11"/>
        <v>36</v>
      </c>
    </row>
    <row r="126" spans="1:9" ht="15.75">
      <c r="A126" s="80"/>
      <c r="B126" s="18" t="s">
        <v>116</v>
      </c>
      <c r="C126" s="34" t="s">
        <v>117</v>
      </c>
      <c r="D126" s="28">
        <v>1.6</v>
      </c>
      <c r="E126" s="40">
        <f t="shared" si="12"/>
        <v>0.13333333333333333</v>
      </c>
      <c r="F126" s="67">
        <v>12</v>
      </c>
      <c r="G126" s="68">
        <v>24</v>
      </c>
      <c r="H126" s="67">
        <f t="shared" si="10"/>
        <v>288</v>
      </c>
      <c r="I126" s="69">
        <f t="shared" si="11"/>
        <v>38.4</v>
      </c>
    </row>
    <row r="127" spans="1:9" ht="16.5" thickBot="1">
      <c r="A127" s="80"/>
      <c r="B127" s="20" t="s">
        <v>118</v>
      </c>
      <c r="C127" s="35" t="s">
        <v>119</v>
      </c>
      <c r="D127" s="29">
        <v>1.7</v>
      </c>
      <c r="E127" s="41">
        <f t="shared" si="12"/>
        <v>0.14166666666666666</v>
      </c>
      <c r="F127" s="67">
        <v>12</v>
      </c>
      <c r="G127" s="68">
        <v>24</v>
      </c>
      <c r="H127" s="67">
        <f t="shared" si="10"/>
        <v>288</v>
      </c>
      <c r="I127" s="69">
        <f t="shared" si="11"/>
        <v>40.799999999999997</v>
      </c>
    </row>
    <row r="128" spans="1:9" ht="15.75">
      <c r="A128" s="80"/>
      <c r="B128" s="19" t="s">
        <v>120</v>
      </c>
      <c r="C128" s="33" t="s">
        <v>121</v>
      </c>
      <c r="D128" s="27">
        <v>1.4</v>
      </c>
      <c r="E128" s="39">
        <f t="shared" si="12"/>
        <v>0.11666666666666665</v>
      </c>
      <c r="F128" s="67">
        <v>12</v>
      </c>
      <c r="G128" s="68">
        <v>24</v>
      </c>
      <c r="H128" s="67">
        <f t="shared" si="10"/>
        <v>288</v>
      </c>
      <c r="I128" s="69">
        <f t="shared" si="11"/>
        <v>33.599999999999994</v>
      </c>
    </row>
    <row r="129" spans="1:9" ht="15.75">
      <c r="A129" s="80"/>
      <c r="B129" s="18" t="s">
        <v>122</v>
      </c>
      <c r="C129" s="34" t="s">
        <v>123</v>
      </c>
      <c r="D129" s="28">
        <v>1.5</v>
      </c>
      <c r="E129" s="40">
        <f t="shared" si="12"/>
        <v>0.125</v>
      </c>
      <c r="F129" s="67">
        <v>12</v>
      </c>
      <c r="G129" s="68">
        <v>24</v>
      </c>
      <c r="H129" s="67">
        <f t="shared" si="10"/>
        <v>288</v>
      </c>
      <c r="I129" s="69">
        <f t="shared" si="11"/>
        <v>36</v>
      </c>
    </row>
    <row r="130" spans="1:9" ht="15.75">
      <c r="A130" s="80"/>
      <c r="B130" s="18" t="s">
        <v>124</v>
      </c>
      <c r="C130" s="34" t="s">
        <v>125</v>
      </c>
      <c r="D130" s="28">
        <v>1.65</v>
      </c>
      <c r="E130" s="40">
        <f t="shared" si="12"/>
        <v>0.13749999999999998</v>
      </c>
      <c r="F130" s="67">
        <v>12</v>
      </c>
      <c r="G130" s="68">
        <v>24</v>
      </c>
      <c r="H130" s="67">
        <f t="shared" si="10"/>
        <v>288</v>
      </c>
      <c r="I130" s="69">
        <f t="shared" si="11"/>
        <v>39.599999999999994</v>
      </c>
    </row>
    <row r="131" spans="1:9" ht="16.5" thickBot="1">
      <c r="A131" s="80"/>
      <c r="B131" s="20" t="s">
        <v>126</v>
      </c>
      <c r="C131" s="35" t="s">
        <v>127</v>
      </c>
      <c r="D131" s="29">
        <v>1.75</v>
      </c>
      <c r="E131" s="41">
        <f t="shared" si="12"/>
        <v>0.14583333333333334</v>
      </c>
      <c r="F131" s="67">
        <v>12</v>
      </c>
      <c r="G131" s="68">
        <v>24</v>
      </c>
      <c r="H131" s="67">
        <f t="shared" si="10"/>
        <v>288</v>
      </c>
      <c r="I131" s="69">
        <f t="shared" si="11"/>
        <v>42</v>
      </c>
    </row>
    <row r="132" spans="1:9" ht="15.75">
      <c r="A132" s="80"/>
      <c r="B132" s="19" t="s">
        <v>128</v>
      </c>
      <c r="C132" s="33" t="s">
        <v>129</v>
      </c>
      <c r="D132" s="27">
        <v>1.65</v>
      </c>
      <c r="E132" s="39">
        <f t="shared" si="12"/>
        <v>0.13749999999999998</v>
      </c>
      <c r="F132" s="67">
        <v>12</v>
      </c>
      <c r="G132" s="68">
        <v>20</v>
      </c>
      <c r="H132" s="67">
        <f t="shared" si="10"/>
        <v>240</v>
      </c>
      <c r="I132" s="69">
        <f t="shared" si="11"/>
        <v>32.999999999999993</v>
      </c>
    </row>
    <row r="133" spans="1:9" ht="15.75">
      <c r="A133" s="80"/>
      <c r="B133" s="18" t="s">
        <v>130</v>
      </c>
      <c r="C133" s="34" t="s">
        <v>131</v>
      </c>
      <c r="D133" s="28">
        <v>1.75</v>
      </c>
      <c r="E133" s="40">
        <f t="shared" si="12"/>
        <v>0.14583333333333334</v>
      </c>
      <c r="F133" s="67">
        <v>12</v>
      </c>
      <c r="G133" s="68">
        <v>20</v>
      </c>
      <c r="H133" s="67">
        <f t="shared" si="10"/>
        <v>240</v>
      </c>
      <c r="I133" s="69">
        <f t="shared" si="11"/>
        <v>35</v>
      </c>
    </row>
    <row r="134" spans="1:9" ht="15.75">
      <c r="A134" s="80"/>
      <c r="B134" s="18" t="s">
        <v>132</v>
      </c>
      <c r="C134" s="34" t="s">
        <v>133</v>
      </c>
      <c r="D134" s="28">
        <v>1.85</v>
      </c>
      <c r="E134" s="40">
        <f t="shared" si="12"/>
        <v>0.15416666666666667</v>
      </c>
      <c r="F134" s="67">
        <v>12</v>
      </c>
      <c r="G134" s="68">
        <v>20</v>
      </c>
      <c r="H134" s="67">
        <f t="shared" si="10"/>
        <v>240</v>
      </c>
      <c r="I134" s="69">
        <f t="shared" si="11"/>
        <v>37</v>
      </c>
    </row>
    <row r="135" spans="1:9" ht="16.5" thickBot="1">
      <c r="A135" s="80"/>
      <c r="B135" s="20" t="s">
        <v>134</v>
      </c>
      <c r="C135" s="35" t="s">
        <v>135</v>
      </c>
      <c r="D135" s="29">
        <v>2.0750000000000002</v>
      </c>
      <c r="E135" s="41">
        <f t="shared" si="12"/>
        <v>0.17291666666666669</v>
      </c>
      <c r="F135" s="67">
        <v>12</v>
      </c>
      <c r="G135" s="68">
        <v>20</v>
      </c>
      <c r="H135" s="67">
        <f t="shared" si="10"/>
        <v>240</v>
      </c>
      <c r="I135" s="69">
        <f t="shared" si="11"/>
        <v>41.500000000000007</v>
      </c>
    </row>
    <row r="136" spans="1:9" ht="15.75">
      <c r="A136" s="76" t="s">
        <v>287</v>
      </c>
      <c r="B136" s="19" t="s">
        <v>58</v>
      </c>
      <c r="C136" s="33" t="s">
        <v>59</v>
      </c>
      <c r="D136" s="21">
        <v>1.375</v>
      </c>
      <c r="E136" s="39">
        <f t="shared" si="9"/>
        <v>0.11458333333333333</v>
      </c>
      <c r="F136" s="67">
        <v>10</v>
      </c>
      <c r="G136" s="68">
        <v>24</v>
      </c>
      <c r="H136" s="67">
        <f t="shared" si="10"/>
        <v>240</v>
      </c>
      <c r="I136" s="69">
        <f t="shared" si="11"/>
        <v>27.5</v>
      </c>
    </row>
    <row r="137" spans="1:9" ht="15.75">
      <c r="A137" s="77"/>
      <c r="B137" s="18" t="s">
        <v>60</v>
      </c>
      <c r="C137" s="34" t="s">
        <v>61</v>
      </c>
      <c r="D137" s="23">
        <v>1.5</v>
      </c>
      <c r="E137" s="40">
        <f t="shared" si="9"/>
        <v>0.125</v>
      </c>
      <c r="F137" s="67">
        <v>10</v>
      </c>
      <c r="G137" s="68">
        <v>24</v>
      </c>
      <c r="H137" s="67">
        <f t="shared" si="10"/>
        <v>240</v>
      </c>
      <c r="I137" s="69">
        <f t="shared" si="11"/>
        <v>30</v>
      </c>
    </row>
    <row r="138" spans="1:9" ht="15.75">
      <c r="A138" s="77"/>
      <c r="B138" s="18" t="s">
        <v>62</v>
      </c>
      <c r="C138" s="34" t="s">
        <v>63</v>
      </c>
      <c r="D138" s="23">
        <v>1.625</v>
      </c>
      <c r="E138" s="40">
        <f t="shared" si="9"/>
        <v>0.13541666666666666</v>
      </c>
      <c r="F138" s="67">
        <v>10</v>
      </c>
      <c r="G138" s="68">
        <v>24</v>
      </c>
      <c r="H138" s="67">
        <f t="shared" si="10"/>
        <v>240</v>
      </c>
      <c r="I138" s="69">
        <f t="shared" si="11"/>
        <v>32.5</v>
      </c>
    </row>
    <row r="139" spans="1:9" ht="16.5" thickBot="1">
      <c r="A139" s="77"/>
      <c r="B139" s="20" t="s">
        <v>64</v>
      </c>
      <c r="C139" s="35" t="s">
        <v>65</v>
      </c>
      <c r="D139" s="22">
        <v>1.825</v>
      </c>
      <c r="E139" s="41">
        <f t="shared" si="9"/>
        <v>0.15208333333333332</v>
      </c>
      <c r="F139" s="67">
        <v>10</v>
      </c>
      <c r="G139" s="68">
        <v>24</v>
      </c>
      <c r="H139" s="67">
        <f t="shared" si="10"/>
        <v>240</v>
      </c>
      <c r="I139" s="69">
        <f t="shared" si="11"/>
        <v>36.5</v>
      </c>
    </row>
    <row r="140" spans="1:9" ht="15.75">
      <c r="A140" s="77"/>
      <c r="B140" s="19" t="s">
        <v>66</v>
      </c>
      <c r="C140" s="33" t="s">
        <v>67</v>
      </c>
      <c r="D140" s="21">
        <v>1.575</v>
      </c>
      <c r="E140" s="39">
        <f t="shared" si="9"/>
        <v>0.13125000000000001</v>
      </c>
      <c r="F140" s="67">
        <v>10</v>
      </c>
      <c r="G140" s="68">
        <v>24</v>
      </c>
      <c r="H140" s="67">
        <f t="shared" si="10"/>
        <v>240</v>
      </c>
      <c r="I140" s="69">
        <f t="shared" si="11"/>
        <v>31.5</v>
      </c>
    </row>
    <row r="141" spans="1:9" ht="15.75">
      <c r="A141" s="77"/>
      <c r="B141" s="18" t="s">
        <v>68</v>
      </c>
      <c r="C141" s="34" t="s">
        <v>69</v>
      </c>
      <c r="D141" s="23">
        <v>1.7</v>
      </c>
      <c r="E141" s="40">
        <f t="shared" si="9"/>
        <v>0.14166666666666666</v>
      </c>
      <c r="F141" s="67">
        <v>10</v>
      </c>
      <c r="G141" s="68">
        <v>24</v>
      </c>
      <c r="H141" s="67">
        <f t="shared" si="10"/>
        <v>240</v>
      </c>
      <c r="I141" s="69">
        <f t="shared" si="11"/>
        <v>34</v>
      </c>
    </row>
    <row r="142" spans="1:9" ht="15.75">
      <c r="A142" s="77"/>
      <c r="B142" s="18" t="s">
        <v>70</v>
      </c>
      <c r="C142" s="34" t="s">
        <v>71</v>
      </c>
      <c r="D142" s="23">
        <v>1.825</v>
      </c>
      <c r="E142" s="40">
        <f t="shared" si="9"/>
        <v>0.15208333333333332</v>
      </c>
      <c r="F142" s="67">
        <v>10</v>
      </c>
      <c r="G142" s="68">
        <v>24</v>
      </c>
      <c r="H142" s="67">
        <f t="shared" si="10"/>
        <v>240</v>
      </c>
      <c r="I142" s="69">
        <f t="shared" si="11"/>
        <v>36.5</v>
      </c>
    </row>
    <row r="143" spans="1:9" ht="16.5" thickBot="1">
      <c r="A143" s="77"/>
      <c r="B143" s="20" t="s">
        <v>72</v>
      </c>
      <c r="C143" s="35" t="s">
        <v>73</v>
      </c>
      <c r="D143" s="22">
        <v>2.0249999999999999</v>
      </c>
      <c r="E143" s="41">
        <f t="shared" si="9"/>
        <v>0.16874999999999998</v>
      </c>
      <c r="F143" s="67">
        <v>10</v>
      </c>
      <c r="G143" s="68">
        <v>24</v>
      </c>
      <c r="H143" s="67">
        <f t="shared" si="10"/>
        <v>240</v>
      </c>
      <c r="I143" s="69">
        <f t="shared" si="11"/>
        <v>40.499999999999993</v>
      </c>
    </row>
    <row r="144" spans="1:9" ht="15.75">
      <c r="A144" s="77"/>
      <c r="B144" s="19" t="s">
        <v>74</v>
      </c>
      <c r="C144" s="33" t="s">
        <v>75</v>
      </c>
      <c r="D144" s="21">
        <v>1.825</v>
      </c>
      <c r="E144" s="39">
        <f t="shared" si="9"/>
        <v>0.15208333333333332</v>
      </c>
      <c r="F144" s="67">
        <v>10</v>
      </c>
      <c r="G144" s="68">
        <v>20</v>
      </c>
      <c r="H144" s="67">
        <f t="shared" si="10"/>
        <v>200</v>
      </c>
      <c r="I144" s="69">
        <f t="shared" si="11"/>
        <v>30.416666666666664</v>
      </c>
    </row>
    <row r="145" spans="1:9" ht="15.75">
      <c r="A145" s="77"/>
      <c r="B145" s="18" t="s">
        <v>76</v>
      </c>
      <c r="C145" s="34" t="s">
        <v>77</v>
      </c>
      <c r="D145" s="23">
        <v>1.95</v>
      </c>
      <c r="E145" s="40">
        <f t="shared" si="9"/>
        <v>0.16250000000000001</v>
      </c>
      <c r="F145" s="67">
        <v>10</v>
      </c>
      <c r="G145" s="68">
        <v>20</v>
      </c>
      <c r="H145" s="67">
        <f t="shared" si="10"/>
        <v>200</v>
      </c>
      <c r="I145" s="69">
        <f t="shared" si="11"/>
        <v>32.5</v>
      </c>
    </row>
    <row r="146" spans="1:9" ht="16.5" thickBot="1">
      <c r="A146" s="77"/>
      <c r="B146" s="18" t="s">
        <v>78</v>
      </c>
      <c r="C146" s="34" t="s">
        <v>79</v>
      </c>
      <c r="D146" s="23">
        <v>2.0499999999999998</v>
      </c>
      <c r="E146" s="40">
        <f t="shared" si="9"/>
        <v>0.17083333333333331</v>
      </c>
      <c r="F146" s="67">
        <v>10</v>
      </c>
      <c r="G146" s="68">
        <v>20</v>
      </c>
      <c r="H146" s="67">
        <f t="shared" si="10"/>
        <v>200</v>
      </c>
      <c r="I146" s="69">
        <f t="shared" si="11"/>
        <v>34.166666666666664</v>
      </c>
    </row>
    <row r="147" spans="1:9" ht="15.75">
      <c r="A147" s="77"/>
      <c r="B147" s="19" t="s">
        <v>80</v>
      </c>
      <c r="C147" s="33" t="s">
        <v>81</v>
      </c>
      <c r="D147" s="21">
        <v>1.825</v>
      </c>
      <c r="E147" s="39">
        <f t="shared" si="9"/>
        <v>0.15208333333333332</v>
      </c>
      <c r="F147" s="67">
        <v>10</v>
      </c>
      <c r="G147" s="68">
        <v>20</v>
      </c>
      <c r="H147" s="67">
        <f t="shared" si="10"/>
        <v>200</v>
      </c>
      <c r="I147" s="69">
        <f t="shared" si="11"/>
        <v>30.416666666666664</v>
      </c>
    </row>
    <row r="148" spans="1:9" ht="15.75">
      <c r="A148" s="77"/>
      <c r="B148" s="18" t="s">
        <v>82</v>
      </c>
      <c r="C148" s="34" t="s">
        <v>83</v>
      </c>
      <c r="D148" s="23">
        <v>1.95</v>
      </c>
      <c r="E148" s="40">
        <f t="shared" si="9"/>
        <v>0.16250000000000001</v>
      </c>
      <c r="F148" s="67">
        <v>10</v>
      </c>
      <c r="G148" s="68">
        <v>20</v>
      </c>
      <c r="H148" s="67">
        <f t="shared" si="10"/>
        <v>200</v>
      </c>
      <c r="I148" s="69">
        <f t="shared" si="11"/>
        <v>32.5</v>
      </c>
    </row>
    <row r="149" spans="1:9" ht="15.75">
      <c r="A149" s="77"/>
      <c r="B149" s="18" t="s">
        <v>84</v>
      </c>
      <c r="C149" s="34" t="s">
        <v>85</v>
      </c>
      <c r="D149" s="23">
        <v>2.125</v>
      </c>
      <c r="E149" s="40">
        <f t="shared" si="9"/>
        <v>0.17708333333333334</v>
      </c>
      <c r="F149" s="67">
        <v>10</v>
      </c>
      <c r="G149" s="68">
        <v>20</v>
      </c>
      <c r="H149" s="67">
        <f t="shared" si="10"/>
        <v>200</v>
      </c>
      <c r="I149" s="69">
        <f t="shared" si="11"/>
        <v>35.416666666666671</v>
      </c>
    </row>
    <row r="150" spans="1:9" ht="16.5" thickBot="1">
      <c r="A150" s="77"/>
      <c r="B150" s="20" t="s">
        <v>86</v>
      </c>
      <c r="C150" s="35" t="s">
        <v>87</v>
      </c>
      <c r="D150" s="22">
        <v>2.2749999999999999</v>
      </c>
      <c r="E150" s="41">
        <f t="shared" si="9"/>
        <v>0.18958333333333333</v>
      </c>
      <c r="F150" s="67">
        <v>10</v>
      </c>
      <c r="G150" s="68">
        <v>20</v>
      </c>
      <c r="H150" s="67">
        <f t="shared" si="10"/>
        <v>200</v>
      </c>
      <c r="I150" s="69">
        <f t="shared" si="11"/>
        <v>37.916666666666664</v>
      </c>
    </row>
    <row r="151" spans="1:9" ht="15.75">
      <c r="A151" s="77"/>
      <c r="B151" s="19" t="s">
        <v>88</v>
      </c>
      <c r="C151" s="33" t="s">
        <v>89</v>
      </c>
      <c r="D151" s="21">
        <v>2.1749999999999998</v>
      </c>
      <c r="E151" s="39">
        <f t="shared" si="9"/>
        <v>0.18124999999999999</v>
      </c>
      <c r="F151" s="67">
        <v>10</v>
      </c>
      <c r="G151" s="68">
        <v>16</v>
      </c>
      <c r="H151" s="67">
        <f t="shared" si="10"/>
        <v>160</v>
      </c>
      <c r="I151" s="69">
        <f t="shared" si="11"/>
        <v>29</v>
      </c>
    </row>
    <row r="152" spans="1:9" ht="15.75">
      <c r="A152" s="77"/>
      <c r="B152" s="18" t="s">
        <v>90</v>
      </c>
      <c r="C152" s="34" t="s">
        <v>91</v>
      </c>
      <c r="D152" s="23">
        <v>2.25</v>
      </c>
      <c r="E152" s="40">
        <f t="shared" si="9"/>
        <v>0.1875</v>
      </c>
      <c r="F152" s="67">
        <v>10</v>
      </c>
      <c r="G152" s="68">
        <v>16</v>
      </c>
      <c r="H152" s="67">
        <f t="shared" si="10"/>
        <v>160</v>
      </c>
      <c r="I152" s="69">
        <f t="shared" si="11"/>
        <v>30</v>
      </c>
    </row>
    <row r="153" spans="1:9" ht="15.75">
      <c r="A153" s="77"/>
      <c r="B153" s="18" t="s">
        <v>92</v>
      </c>
      <c r="C153" s="34" t="s">
        <v>93</v>
      </c>
      <c r="D153" s="23">
        <v>2.4750000000000001</v>
      </c>
      <c r="E153" s="40">
        <f t="shared" si="9"/>
        <v>0.20625000000000002</v>
      </c>
      <c r="F153" s="67">
        <v>10</v>
      </c>
      <c r="G153" s="68">
        <v>16</v>
      </c>
      <c r="H153" s="67">
        <f t="shared" si="10"/>
        <v>160</v>
      </c>
      <c r="I153" s="69">
        <f t="shared" si="11"/>
        <v>33</v>
      </c>
    </row>
    <row r="154" spans="1:9" ht="16.5" thickBot="1">
      <c r="A154" s="77"/>
      <c r="B154" s="20" t="s">
        <v>94</v>
      </c>
      <c r="C154" s="35" t="s">
        <v>95</v>
      </c>
      <c r="D154" s="22">
        <v>2.6749999999999998</v>
      </c>
      <c r="E154" s="41">
        <f t="shared" si="9"/>
        <v>0.22291666666666665</v>
      </c>
      <c r="F154" s="67">
        <v>10</v>
      </c>
      <c r="G154" s="68">
        <v>16</v>
      </c>
      <c r="H154" s="67">
        <f t="shared" si="10"/>
        <v>160</v>
      </c>
      <c r="I154" s="69">
        <f t="shared" si="11"/>
        <v>35.666666666666664</v>
      </c>
    </row>
    <row r="155" spans="1:9" ht="15.75">
      <c r="A155" s="79" t="s">
        <v>315</v>
      </c>
      <c r="B155" s="19" t="s">
        <v>58</v>
      </c>
      <c r="C155" s="33" t="s">
        <v>59</v>
      </c>
      <c r="D155" s="21">
        <v>1.4</v>
      </c>
      <c r="E155" s="39">
        <f t="shared" ref="E155:E176" si="13">D155/12</f>
        <v>0.11666666666666665</v>
      </c>
      <c r="F155" s="67">
        <v>10</v>
      </c>
      <c r="G155" s="68">
        <v>24</v>
      </c>
      <c r="H155" s="67">
        <f t="shared" si="10"/>
        <v>240</v>
      </c>
      <c r="I155" s="69">
        <f t="shared" si="11"/>
        <v>27.999999999999996</v>
      </c>
    </row>
    <row r="156" spans="1:9" ht="15.75">
      <c r="A156" s="80"/>
      <c r="B156" s="18" t="s">
        <v>60</v>
      </c>
      <c r="C156" s="34" t="s">
        <v>61</v>
      </c>
      <c r="D156" s="23">
        <v>1.5249999999999999</v>
      </c>
      <c r="E156" s="40">
        <f t="shared" si="13"/>
        <v>0.12708333333333333</v>
      </c>
      <c r="F156" s="67">
        <v>10</v>
      </c>
      <c r="G156" s="68">
        <v>24</v>
      </c>
      <c r="H156" s="67">
        <f t="shared" si="10"/>
        <v>240</v>
      </c>
      <c r="I156" s="69">
        <f t="shared" si="11"/>
        <v>30.5</v>
      </c>
    </row>
    <row r="157" spans="1:9" ht="15.75">
      <c r="A157" s="80"/>
      <c r="B157" s="18" t="s">
        <v>62</v>
      </c>
      <c r="C157" s="34" t="s">
        <v>63</v>
      </c>
      <c r="D157" s="23">
        <v>1.65</v>
      </c>
      <c r="E157" s="40">
        <f t="shared" si="13"/>
        <v>0.13749999999999998</v>
      </c>
      <c r="F157" s="67">
        <v>10</v>
      </c>
      <c r="G157" s="68">
        <v>24</v>
      </c>
      <c r="H157" s="67">
        <f t="shared" si="10"/>
        <v>240</v>
      </c>
      <c r="I157" s="69">
        <f t="shared" si="11"/>
        <v>32.999999999999993</v>
      </c>
    </row>
    <row r="158" spans="1:9" ht="16.5" thickBot="1">
      <c r="A158" s="80"/>
      <c r="B158" s="20" t="s">
        <v>64</v>
      </c>
      <c r="C158" s="35" t="s">
        <v>65</v>
      </c>
      <c r="D158" s="22">
        <v>1.85</v>
      </c>
      <c r="E158" s="41">
        <f t="shared" si="13"/>
        <v>0.15416666666666667</v>
      </c>
      <c r="F158" s="67">
        <v>10</v>
      </c>
      <c r="G158" s="68">
        <v>24</v>
      </c>
      <c r="H158" s="67">
        <f t="shared" si="10"/>
        <v>240</v>
      </c>
      <c r="I158" s="69">
        <f t="shared" si="11"/>
        <v>37</v>
      </c>
    </row>
    <row r="159" spans="1:9" ht="15.75">
      <c r="A159" s="80"/>
      <c r="B159" s="19" t="s">
        <v>66</v>
      </c>
      <c r="C159" s="33" t="s">
        <v>67</v>
      </c>
      <c r="D159" s="21">
        <v>1.6</v>
      </c>
      <c r="E159" s="39">
        <f t="shared" si="13"/>
        <v>0.13333333333333333</v>
      </c>
      <c r="F159" s="67">
        <v>10</v>
      </c>
      <c r="G159" s="68">
        <v>24</v>
      </c>
      <c r="H159" s="67">
        <f t="shared" si="10"/>
        <v>240</v>
      </c>
      <c r="I159" s="69">
        <f t="shared" si="11"/>
        <v>32</v>
      </c>
    </row>
    <row r="160" spans="1:9" ht="15.75">
      <c r="A160" s="80"/>
      <c r="B160" s="18" t="s">
        <v>68</v>
      </c>
      <c r="C160" s="34" t="s">
        <v>69</v>
      </c>
      <c r="D160" s="23">
        <v>1.7250000000000001</v>
      </c>
      <c r="E160" s="40">
        <f t="shared" si="13"/>
        <v>0.14375000000000002</v>
      </c>
      <c r="F160" s="67">
        <v>10</v>
      </c>
      <c r="G160" s="68">
        <v>24</v>
      </c>
      <c r="H160" s="67">
        <f t="shared" si="10"/>
        <v>240</v>
      </c>
      <c r="I160" s="69">
        <f t="shared" si="11"/>
        <v>34.500000000000007</v>
      </c>
    </row>
    <row r="161" spans="1:9" ht="15.75">
      <c r="A161" s="80"/>
      <c r="B161" s="18" t="s">
        <v>70</v>
      </c>
      <c r="C161" s="34" t="s">
        <v>71</v>
      </c>
      <c r="D161" s="23">
        <v>1.85</v>
      </c>
      <c r="E161" s="40">
        <f t="shared" si="13"/>
        <v>0.15416666666666667</v>
      </c>
      <c r="F161" s="67">
        <v>10</v>
      </c>
      <c r="G161" s="68">
        <v>24</v>
      </c>
      <c r="H161" s="67">
        <f t="shared" si="10"/>
        <v>240</v>
      </c>
      <c r="I161" s="69">
        <f t="shared" si="11"/>
        <v>37</v>
      </c>
    </row>
    <row r="162" spans="1:9" ht="16.5" thickBot="1">
      <c r="A162" s="80"/>
      <c r="B162" s="20" t="s">
        <v>72</v>
      </c>
      <c r="C162" s="35" t="s">
        <v>73</v>
      </c>
      <c r="D162" s="22">
        <v>2.0499999999999998</v>
      </c>
      <c r="E162" s="41">
        <f t="shared" si="13"/>
        <v>0.17083333333333331</v>
      </c>
      <c r="F162" s="67">
        <v>10</v>
      </c>
      <c r="G162" s="68">
        <v>24</v>
      </c>
      <c r="H162" s="67">
        <f t="shared" si="10"/>
        <v>240</v>
      </c>
      <c r="I162" s="69">
        <f t="shared" si="11"/>
        <v>40.999999999999993</v>
      </c>
    </row>
    <row r="163" spans="1:9" ht="15.75">
      <c r="A163" s="80"/>
      <c r="B163" s="19" t="s">
        <v>74</v>
      </c>
      <c r="C163" s="33" t="s">
        <v>75</v>
      </c>
      <c r="D163" s="21">
        <v>1.85</v>
      </c>
      <c r="E163" s="39">
        <f t="shared" si="13"/>
        <v>0.15416666666666667</v>
      </c>
      <c r="F163" s="67">
        <v>10</v>
      </c>
      <c r="G163" s="68">
        <v>20</v>
      </c>
      <c r="H163" s="67">
        <f t="shared" si="10"/>
        <v>200</v>
      </c>
      <c r="I163" s="69">
        <f t="shared" si="11"/>
        <v>30.833333333333336</v>
      </c>
    </row>
    <row r="164" spans="1:9" ht="15.75">
      <c r="A164" s="80"/>
      <c r="B164" s="18" t="s">
        <v>76</v>
      </c>
      <c r="C164" s="34" t="s">
        <v>77</v>
      </c>
      <c r="D164" s="23">
        <v>1.9750000000000001</v>
      </c>
      <c r="E164" s="40">
        <f t="shared" si="13"/>
        <v>0.16458333333333333</v>
      </c>
      <c r="F164" s="67">
        <v>10</v>
      </c>
      <c r="G164" s="68">
        <v>20</v>
      </c>
      <c r="H164" s="67">
        <f t="shared" si="10"/>
        <v>200</v>
      </c>
      <c r="I164" s="69">
        <f t="shared" si="11"/>
        <v>32.916666666666664</v>
      </c>
    </row>
    <row r="165" spans="1:9" ht="16.5" thickBot="1">
      <c r="A165" s="80"/>
      <c r="B165" s="18" t="s">
        <v>78</v>
      </c>
      <c r="C165" s="34" t="s">
        <v>79</v>
      </c>
      <c r="D165" s="23">
        <v>2.0750000000000002</v>
      </c>
      <c r="E165" s="40">
        <f t="shared" si="13"/>
        <v>0.17291666666666669</v>
      </c>
      <c r="F165" s="67">
        <v>10</v>
      </c>
      <c r="G165" s="68">
        <v>20</v>
      </c>
      <c r="H165" s="67">
        <f t="shared" si="10"/>
        <v>200</v>
      </c>
      <c r="I165" s="69">
        <f t="shared" si="11"/>
        <v>34.583333333333336</v>
      </c>
    </row>
    <row r="166" spans="1:9" ht="15.75">
      <c r="A166" s="80"/>
      <c r="B166" s="19" t="s">
        <v>80</v>
      </c>
      <c r="C166" s="33" t="s">
        <v>81</v>
      </c>
      <c r="D166" s="21">
        <v>1.85</v>
      </c>
      <c r="E166" s="39">
        <f t="shared" si="13"/>
        <v>0.15416666666666667</v>
      </c>
      <c r="F166" s="67">
        <v>10</v>
      </c>
      <c r="G166" s="68">
        <v>20</v>
      </c>
      <c r="H166" s="67">
        <f t="shared" si="10"/>
        <v>200</v>
      </c>
      <c r="I166" s="69">
        <f t="shared" si="11"/>
        <v>30.833333333333336</v>
      </c>
    </row>
    <row r="167" spans="1:9" ht="15.75">
      <c r="A167" s="80"/>
      <c r="B167" s="18" t="s">
        <v>82</v>
      </c>
      <c r="C167" s="34" t="s">
        <v>83</v>
      </c>
      <c r="D167" s="23">
        <v>1.9750000000000001</v>
      </c>
      <c r="E167" s="40">
        <f t="shared" si="13"/>
        <v>0.16458333333333333</v>
      </c>
      <c r="F167" s="67">
        <v>10</v>
      </c>
      <c r="G167" s="68">
        <v>20</v>
      </c>
      <c r="H167" s="67">
        <f t="shared" si="10"/>
        <v>200</v>
      </c>
      <c r="I167" s="69">
        <f t="shared" si="11"/>
        <v>32.916666666666664</v>
      </c>
    </row>
    <row r="168" spans="1:9" ht="15.75">
      <c r="A168" s="80"/>
      <c r="B168" s="18" t="s">
        <v>84</v>
      </c>
      <c r="C168" s="34" t="s">
        <v>85</v>
      </c>
      <c r="D168" s="23">
        <v>2.15</v>
      </c>
      <c r="E168" s="40">
        <f t="shared" si="13"/>
        <v>0.17916666666666667</v>
      </c>
      <c r="F168" s="67">
        <v>10</v>
      </c>
      <c r="G168" s="68">
        <v>20</v>
      </c>
      <c r="H168" s="67">
        <f t="shared" si="10"/>
        <v>200</v>
      </c>
      <c r="I168" s="69">
        <f t="shared" si="11"/>
        <v>35.833333333333336</v>
      </c>
    </row>
    <row r="169" spans="1:9" ht="16.5" thickBot="1">
      <c r="A169" s="80"/>
      <c r="B169" s="20" t="s">
        <v>86</v>
      </c>
      <c r="C169" s="35" t="s">
        <v>87</v>
      </c>
      <c r="D169" s="22">
        <v>2.2999999999999998</v>
      </c>
      <c r="E169" s="41">
        <f t="shared" si="13"/>
        <v>0.19166666666666665</v>
      </c>
      <c r="F169" s="67">
        <v>10</v>
      </c>
      <c r="G169" s="68">
        <v>20</v>
      </c>
      <c r="H169" s="67">
        <f t="shared" si="10"/>
        <v>200</v>
      </c>
      <c r="I169" s="69">
        <f t="shared" si="11"/>
        <v>38.333333333333329</v>
      </c>
    </row>
    <row r="170" spans="1:9" ht="15.75">
      <c r="A170" s="80"/>
      <c r="B170" s="19" t="s">
        <v>88</v>
      </c>
      <c r="C170" s="33" t="s">
        <v>89</v>
      </c>
      <c r="D170" s="21">
        <v>2.2000000000000002</v>
      </c>
      <c r="E170" s="39">
        <f t="shared" si="13"/>
        <v>0.18333333333333335</v>
      </c>
      <c r="F170" s="67">
        <v>10</v>
      </c>
      <c r="G170" s="68">
        <v>16</v>
      </c>
      <c r="H170" s="67">
        <f t="shared" si="10"/>
        <v>160</v>
      </c>
      <c r="I170" s="69">
        <f t="shared" si="11"/>
        <v>29.333333333333336</v>
      </c>
    </row>
    <row r="171" spans="1:9" ht="15.75">
      <c r="A171" s="80"/>
      <c r="B171" s="18" t="s">
        <v>90</v>
      </c>
      <c r="C171" s="34" t="s">
        <v>91</v>
      </c>
      <c r="D171" s="23">
        <v>2.2749999999999999</v>
      </c>
      <c r="E171" s="40">
        <f t="shared" si="13"/>
        <v>0.18958333333333333</v>
      </c>
      <c r="F171" s="67">
        <v>10</v>
      </c>
      <c r="G171" s="68">
        <v>16</v>
      </c>
      <c r="H171" s="67">
        <f t="shared" si="10"/>
        <v>160</v>
      </c>
      <c r="I171" s="69">
        <f t="shared" si="11"/>
        <v>30.333333333333332</v>
      </c>
    </row>
    <row r="172" spans="1:9" ht="15.75">
      <c r="A172" s="80"/>
      <c r="B172" s="18" t="s">
        <v>92</v>
      </c>
      <c r="C172" s="34" t="s">
        <v>93</v>
      </c>
      <c r="D172" s="23">
        <v>2.5</v>
      </c>
      <c r="E172" s="40">
        <f t="shared" si="13"/>
        <v>0.20833333333333334</v>
      </c>
      <c r="F172" s="67">
        <v>10</v>
      </c>
      <c r="G172" s="68">
        <v>16</v>
      </c>
      <c r="H172" s="67">
        <f t="shared" si="10"/>
        <v>160</v>
      </c>
      <c r="I172" s="69">
        <f t="shared" si="11"/>
        <v>33.333333333333336</v>
      </c>
    </row>
    <row r="173" spans="1:9" ht="16.5" thickBot="1">
      <c r="A173" s="80"/>
      <c r="B173" s="20" t="s">
        <v>94</v>
      </c>
      <c r="C173" s="35" t="s">
        <v>95</v>
      </c>
      <c r="D173" s="22">
        <v>2.7</v>
      </c>
      <c r="E173" s="41">
        <f t="shared" si="13"/>
        <v>0.22500000000000001</v>
      </c>
      <c r="F173" s="67">
        <v>10</v>
      </c>
      <c r="G173" s="68">
        <v>16</v>
      </c>
      <c r="H173" s="67">
        <f t="shared" si="10"/>
        <v>160</v>
      </c>
      <c r="I173" s="69">
        <f t="shared" si="11"/>
        <v>36</v>
      </c>
    </row>
    <row r="174" spans="1:9" ht="16.5" customHeight="1" thickBot="1">
      <c r="A174" s="76" t="s">
        <v>238</v>
      </c>
      <c r="B174" s="24" t="s">
        <v>239</v>
      </c>
      <c r="C174" s="25" t="s">
        <v>240</v>
      </c>
      <c r="D174" s="26">
        <v>4.32</v>
      </c>
      <c r="E174" s="38">
        <f>D174/12</f>
        <v>0.36000000000000004</v>
      </c>
      <c r="F174" s="67"/>
      <c r="G174" s="68"/>
      <c r="H174" s="67">
        <f t="shared" ref="H174:H187" si="14">G174*F174</f>
        <v>0</v>
      </c>
      <c r="I174" s="69">
        <f t="shared" ref="I174:I187" si="15">H174*E174</f>
        <v>0</v>
      </c>
    </row>
    <row r="175" spans="1:9" ht="15.75" customHeight="1">
      <c r="A175" s="77"/>
      <c r="B175" s="19" t="s">
        <v>241</v>
      </c>
      <c r="C175" s="33" t="s">
        <v>242</v>
      </c>
      <c r="D175" s="21">
        <v>4.9800000000000004</v>
      </c>
      <c r="E175" s="39">
        <f t="shared" si="13"/>
        <v>0.41500000000000004</v>
      </c>
      <c r="F175" s="67"/>
      <c r="G175" s="68"/>
      <c r="H175" s="67">
        <f t="shared" si="14"/>
        <v>0</v>
      </c>
      <c r="I175" s="69">
        <f t="shared" si="15"/>
        <v>0</v>
      </c>
    </row>
    <row r="176" spans="1:9" ht="15.75" customHeight="1">
      <c r="A176" s="77"/>
      <c r="B176" s="18" t="s">
        <v>243</v>
      </c>
      <c r="C176" s="34" t="s">
        <v>244</v>
      </c>
      <c r="D176" s="23">
        <v>5.52</v>
      </c>
      <c r="E176" s="40">
        <f t="shared" si="13"/>
        <v>0.45999999999999996</v>
      </c>
      <c r="F176" s="67"/>
      <c r="G176" s="68"/>
      <c r="H176" s="67">
        <f t="shared" si="14"/>
        <v>0</v>
      </c>
      <c r="I176" s="69">
        <f t="shared" si="15"/>
        <v>0</v>
      </c>
    </row>
    <row r="177" spans="1:9" ht="15.75" customHeight="1">
      <c r="A177" s="77"/>
      <c r="B177" s="18" t="s">
        <v>245</v>
      </c>
      <c r="C177" s="34" t="s">
        <v>246</v>
      </c>
      <c r="D177" s="23">
        <v>6.42</v>
      </c>
      <c r="E177" s="40">
        <f t="shared" ref="E177:E202" si="16">D177/12</f>
        <v>0.53500000000000003</v>
      </c>
      <c r="F177" s="67"/>
      <c r="G177" s="68"/>
      <c r="H177" s="67">
        <f t="shared" si="14"/>
        <v>0</v>
      </c>
      <c r="I177" s="69">
        <f t="shared" si="15"/>
        <v>0</v>
      </c>
    </row>
    <row r="178" spans="1:9" ht="15.75" customHeight="1">
      <c r="A178" s="77"/>
      <c r="B178" s="18" t="s">
        <v>247</v>
      </c>
      <c r="C178" s="34" t="s">
        <v>248</v>
      </c>
      <c r="D178" s="23">
        <v>7.2</v>
      </c>
      <c r="E178" s="40">
        <f t="shared" si="16"/>
        <v>0.6</v>
      </c>
      <c r="F178" s="67"/>
      <c r="G178" s="68"/>
      <c r="H178" s="67">
        <f t="shared" si="14"/>
        <v>0</v>
      </c>
      <c r="I178" s="69">
        <f t="shared" si="15"/>
        <v>0</v>
      </c>
    </row>
    <row r="179" spans="1:9" ht="16.5" customHeight="1" thickBot="1">
      <c r="A179" s="77"/>
      <c r="B179" s="20" t="s">
        <v>249</v>
      </c>
      <c r="C179" s="35" t="s">
        <v>250</v>
      </c>
      <c r="D179" s="22">
        <v>7.86</v>
      </c>
      <c r="E179" s="41">
        <f t="shared" si="16"/>
        <v>0.65500000000000003</v>
      </c>
      <c r="F179" s="67"/>
      <c r="G179" s="68"/>
      <c r="H179" s="67">
        <f t="shared" si="14"/>
        <v>0</v>
      </c>
      <c r="I179" s="69">
        <f t="shared" si="15"/>
        <v>0</v>
      </c>
    </row>
    <row r="180" spans="1:9" ht="15.75" customHeight="1">
      <c r="A180" s="77"/>
      <c r="B180" s="19" t="s">
        <v>251</v>
      </c>
      <c r="C180" s="33" t="s">
        <v>252</v>
      </c>
      <c r="D180" s="21">
        <v>6.3</v>
      </c>
      <c r="E180" s="39">
        <f t="shared" si="16"/>
        <v>0.52500000000000002</v>
      </c>
      <c r="F180" s="67"/>
      <c r="G180" s="68"/>
      <c r="H180" s="67">
        <f t="shared" si="14"/>
        <v>0</v>
      </c>
      <c r="I180" s="69">
        <f t="shared" si="15"/>
        <v>0</v>
      </c>
    </row>
    <row r="181" spans="1:9" ht="15.75" customHeight="1">
      <c r="A181" s="77"/>
      <c r="B181" s="18" t="s">
        <v>253</v>
      </c>
      <c r="C181" s="34" t="s">
        <v>254</v>
      </c>
      <c r="D181" s="23">
        <v>7.74</v>
      </c>
      <c r="E181" s="40">
        <f t="shared" si="16"/>
        <v>0.64500000000000002</v>
      </c>
      <c r="F181" s="67"/>
      <c r="G181" s="68"/>
      <c r="H181" s="67">
        <f t="shared" si="14"/>
        <v>0</v>
      </c>
      <c r="I181" s="69">
        <f t="shared" si="15"/>
        <v>0</v>
      </c>
    </row>
    <row r="182" spans="1:9" ht="15.75" customHeight="1">
      <c r="A182" s="77"/>
      <c r="B182" s="18" t="s">
        <v>255</v>
      </c>
      <c r="C182" s="34" t="s">
        <v>256</v>
      </c>
      <c r="D182" s="23">
        <v>8.6999999999999993</v>
      </c>
      <c r="E182" s="40">
        <f t="shared" si="16"/>
        <v>0.72499999999999998</v>
      </c>
      <c r="F182" s="67"/>
      <c r="G182" s="68"/>
      <c r="H182" s="67">
        <f t="shared" si="14"/>
        <v>0</v>
      </c>
      <c r="I182" s="69">
        <f t="shared" si="15"/>
        <v>0</v>
      </c>
    </row>
    <row r="183" spans="1:9" ht="15.75" customHeight="1">
      <c r="A183" s="77"/>
      <c r="B183" s="18" t="s">
        <v>257</v>
      </c>
      <c r="C183" s="34" t="s">
        <v>258</v>
      </c>
      <c r="D183" s="23">
        <v>9.7799999999999994</v>
      </c>
      <c r="E183" s="40">
        <f t="shared" si="16"/>
        <v>0.81499999999999995</v>
      </c>
      <c r="F183" s="67"/>
      <c r="G183" s="68"/>
      <c r="H183" s="67">
        <f t="shared" si="14"/>
        <v>0</v>
      </c>
      <c r="I183" s="69">
        <f t="shared" si="15"/>
        <v>0</v>
      </c>
    </row>
    <row r="184" spans="1:9" ht="16.5" customHeight="1" thickBot="1">
      <c r="A184" s="77"/>
      <c r="B184" s="20" t="s">
        <v>259</v>
      </c>
      <c r="C184" s="35" t="s">
        <v>260</v>
      </c>
      <c r="D184" s="22">
        <v>16.25</v>
      </c>
      <c r="E184" s="41">
        <f t="shared" si="16"/>
        <v>1.3541666666666667</v>
      </c>
      <c r="F184" s="67"/>
      <c r="G184" s="68"/>
      <c r="H184" s="67">
        <f t="shared" si="14"/>
        <v>0</v>
      </c>
      <c r="I184" s="69">
        <f t="shared" si="15"/>
        <v>0</v>
      </c>
    </row>
    <row r="185" spans="1:9" ht="15.75" customHeight="1">
      <c r="A185" s="77"/>
      <c r="B185" s="19" t="s">
        <v>261</v>
      </c>
      <c r="C185" s="33" t="s">
        <v>262</v>
      </c>
      <c r="D185" s="21">
        <v>8.25</v>
      </c>
      <c r="E185" s="39">
        <f t="shared" si="16"/>
        <v>0.6875</v>
      </c>
      <c r="F185" s="67"/>
      <c r="G185" s="68"/>
      <c r="H185" s="67">
        <f t="shared" si="14"/>
        <v>0</v>
      </c>
      <c r="I185" s="69">
        <f t="shared" si="15"/>
        <v>0</v>
      </c>
    </row>
    <row r="186" spans="1:9" ht="15.75" customHeight="1">
      <c r="A186" s="77"/>
      <c r="B186" s="18" t="s">
        <v>263</v>
      </c>
      <c r="C186" s="34" t="s">
        <v>264</v>
      </c>
      <c r="D186" s="23">
        <v>9.4</v>
      </c>
      <c r="E186" s="40">
        <f t="shared" si="16"/>
        <v>0.78333333333333333</v>
      </c>
      <c r="F186" s="67"/>
      <c r="G186" s="68"/>
      <c r="H186" s="67">
        <f t="shared" si="14"/>
        <v>0</v>
      </c>
      <c r="I186" s="69">
        <f t="shared" si="15"/>
        <v>0</v>
      </c>
    </row>
    <row r="187" spans="1:9" ht="16.5" customHeight="1" thickBot="1">
      <c r="A187" s="78"/>
      <c r="B187" s="20" t="s">
        <v>265</v>
      </c>
      <c r="C187" s="36" t="s">
        <v>266</v>
      </c>
      <c r="D187" s="45">
        <v>10.3</v>
      </c>
      <c r="E187" s="41">
        <f t="shared" si="16"/>
        <v>0.85833333333333339</v>
      </c>
      <c r="F187" s="67"/>
      <c r="G187" s="68"/>
      <c r="H187" s="67">
        <f t="shared" si="14"/>
        <v>0</v>
      </c>
      <c r="I187" s="69">
        <f t="shared" si="15"/>
        <v>0</v>
      </c>
    </row>
    <row r="188" spans="1:9" ht="15.75">
      <c r="A188" s="76" t="s">
        <v>281</v>
      </c>
      <c r="B188" s="19" t="s">
        <v>174</v>
      </c>
      <c r="C188" s="47"/>
      <c r="D188" s="21">
        <v>2.15</v>
      </c>
      <c r="E188" s="39">
        <f t="shared" si="16"/>
        <v>0.17916666666666667</v>
      </c>
      <c r="F188" s="67">
        <v>8</v>
      </c>
      <c r="G188" s="68">
        <v>18</v>
      </c>
      <c r="H188" s="67">
        <f t="shared" ref="H188:H236" si="17">G188*F188</f>
        <v>144</v>
      </c>
      <c r="I188" s="69">
        <f t="shared" ref="I188:I236" si="18">H188*E188</f>
        <v>25.8</v>
      </c>
    </row>
    <row r="189" spans="1:9" ht="15.75">
      <c r="A189" s="77"/>
      <c r="B189" s="18" t="s">
        <v>175</v>
      </c>
      <c r="C189" s="46"/>
      <c r="D189" s="23">
        <v>2.75</v>
      </c>
      <c r="E189" s="40">
        <f t="shared" si="16"/>
        <v>0.22916666666666666</v>
      </c>
      <c r="F189" s="67">
        <v>6</v>
      </c>
      <c r="G189" s="68">
        <v>18</v>
      </c>
      <c r="H189" s="67">
        <f t="shared" si="17"/>
        <v>108</v>
      </c>
      <c r="I189" s="69">
        <f t="shared" si="18"/>
        <v>24.75</v>
      </c>
    </row>
    <row r="190" spans="1:9" ht="15.75">
      <c r="A190" s="77"/>
      <c r="B190" s="18" t="s">
        <v>270</v>
      </c>
      <c r="C190" s="46"/>
      <c r="D190" s="23">
        <v>4</v>
      </c>
      <c r="E190" s="40">
        <f t="shared" si="16"/>
        <v>0.33333333333333331</v>
      </c>
      <c r="F190" s="67">
        <v>6</v>
      </c>
      <c r="G190" s="68">
        <v>16</v>
      </c>
      <c r="H190" s="67">
        <f t="shared" si="17"/>
        <v>96</v>
      </c>
      <c r="I190" s="69">
        <f t="shared" si="18"/>
        <v>32</v>
      </c>
    </row>
    <row r="191" spans="1:9" ht="15.75">
      <c r="A191" s="77"/>
      <c r="B191" s="18" t="s">
        <v>271</v>
      </c>
      <c r="C191" s="46"/>
      <c r="D191" s="23">
        <v>5.2249999999999996</v>
      </c>
      <c r="E191" s="40">
        <f t="shared" si="16"/>
        <v>0.43541666666666662</v>
      </c>
      <c r="F191" s="67">
        <v>6</v>
      </c>
      <c r="G191" s="68">
        <v>12</v>
      </c>
      <c r="H191" s="67">
        <f t="shared" si="17"/>
        <v>72</v>
      </c>
      <c r="I191" s="69">
        <f t="shared" si="18"/>
        <v>31.349999999999998</v>
      </c>
    </row>
    <row r="192" spans="1:9" ht="15.75">
      <c r="A192" s="77"/>
      <c r="B192" s="18" t="s">
        <v>272</v>
      </c>
      <c r="C192" s="46"/>
      <c r="D192" s="23">
        <v>6.5250000000000004</v>
      </c>
      <c r="E192" s="40">
        <f t="shared" si="16"/>
        <v>0.54375000000000007</v>
      </c>
      <c r="F192" s="67">
        <v>6</v>
      </c>
      <c r="G192" s="68">
        <v>12</v>
      </c>
      <c r="H192" s="67">
        <f t="shared" si="17"/>
        <v>72</v>
      </c>
      <c r="I192" s="69">
        <f t="shared" si="18"/>
        <v>39.150000000000006</v>
      </c>
    </row>
    <row r="193" spans="1:9" ht="15.75">
      <c r="A193" s="77"/>
      <c r="B193" s="18" t="s">
        <v>273</v>
      </c>
      <c r="C193" s="46"/>
      <c r="D193" s="23">
        <v>7.7750000000000004</v>
      </c>
      <c r="E193" s="40">
        <f t="shared" si="16"/>
        <v>0.6479166666666667</v>
      </c>
      <c r="F193" s="67">
        <v>6</v>
      </c>
      <c r="G193" s="68">
        <v>10</v>
      </c>
      <c r="H193" s="67">
        <f t="shared" si="17"/>
        <v>60</v>
      </c>
      <c r="I193" s="69">
        <f t="shared" si="18"/>
        <v>38.875</v>
      </c>
    </row>
    <row r="194" spans="1:9" ht="15.75">
      <c r="A194" s="77"/>
      <c r="B194" s="18" t="s">
        <v>274</v>
      </c>
      <c r="C194" s="46"/>
      <c r="D194" s="23">
        <v>9.3000000000000007</v>
      </c>
      <c r="E194" s="40">
        <f t="shared" si="16"/>
        <v>0.77500000000000002</v>
      </c>
      <c r="F194" s="67">
        <v>6</v>
      </c>
      <c r="G194" s="68">
        <v>10</v>
      </c>
      <c r="H194" s="67">
        <f t="shared" si="17"/>
        <v>60</v>
      </c>
      <c r="I194" s="69">
        <f t="shared" si="18"/>
        <v>46.5</v>
      </c>
    </row>
    <row r="195" spans="1:9" ht="16.5" thickBot="1">
      <c r="A195" s="78"/>
      <c r="B195" s="20" t="s">
        <v>275</v>
      </c>
      <c r="C195" s="48"/>
      <c r="D195" s="22">
        <v>11.1</v>
      </c>
      <c r="E195" s="41">
        <f t="shared" si="16"/>
        <v>0.92499999999999993</v>
      </c>
      <c r="F195" s="67">
        <v>6</v>
      </c>
      <c r="G195" s="68">
        <v>6</v>
      </c>
      <c r="H195" s="67">
        <f t="shared" si="17"/>
        <v>36</v>
      </c>
      <c r="I195" s="69">
        <f t="shared" si="18"/>
        <v>33.299999999999997</v>
      </c>
    </row>
    <row r="196" spans="1:9" ht="15.75">
      <c r="A196" s="76" t="s">
        <v>282</v>
      </c>
      <c r="B196" s="19" t="s">
        <v>174</v>
      </c>
      <c r="C196" s="50"/>
      <c r="D196" s="21">
        <v>1.3</v>
      </c>
      <c r="E196" s="39">
        <f t="shared" si="16"/>
        <v>0.10833333333333334</v>
      </c>
      <c r="F196" s="67">
        <v>10</v>
      </c>
      <c r="G196" s="68">
        <v>18</v>
      </c>
      <c r="H196" s="67">
        <f t="shared" si="17"/>
        <v>180</v>
      </c>
      <c r="I196" s="69">
        <f t="shared" si="18"/>
        <v>19.5</v>
      </c>
    </row>
    <row r="197" spans="1:9" ht="15.75">
      <c r="A197" s="77"/>
      <c r="B197" s="18" t="s">
        <v>175</v>
      </c>
      <c r="C197" s="49"/>
      <c r="D197" s="23">
        <v>1.55</v>
      </c>
      <c r="E197" s="40">
        <f t="shared" si="16"/>
        <v>0.12916666666666668</v>
      </c>
      <c r="F197" s="67">
        <v>10</v>
      </c>
      <c r="G197" s="68">
        <v>18</v>
      </c>
      <c r="H197" s="67">
        <f t="shared" si="17"/>
        <v>180</v>
      </c>
      <c r="I197" s="69">
        <f t="shared" si="18"/>
        <v>23.250000000000004</v>
      </c>
    </row>
    <row r="198" spans="1:9" ht="15.75">
      <c r="A198" s="77"/>
      <c r="B198" s="18" t="s">
        <v>270</v>
      </c>
      <c r="C198" s="49"/>
      <c r="D198" s="23">
        <v>2.4249999999999998</v>
      </c>
      <c r="E198" s="40">
        <f t="shared" si="16"/>
        <v>0.20208333333333331</v>
      </c>
      <c r="F198" s="67">
        <v>6</v>
      </c>
      <c r="G198" s="68">
        <v>16</v>
      </c>
      <c r="H198" s="67">
        <f t="shared" si="17"/>
        <v>96</v>
      </c>
      <c r="I198" s="69">
        <f t="shared" si="18"/>
        <v>19.399999999999999</v>
      </c>
    </row>
    <row r="199" spans="1:9" ht="15.75">
      <c r="A199" s="77"/>
      <c r="B199" s="18" t="s">
        <v>271</v>
      </c>
      <c r="C199" s="49"/>
      <c r="D199" s="23">
        <v>3.1</v>
      </c>
      <c r="E199" s="40">
        <f t="shared" si="16"/>
        <v>0.25833333333333336</v>
      </c>
      <c r="F199" s="67">
        <v>6</v>
      </c>
      <c r="G199" s="68">
        <v>12</v>
      </c>
      <c r="H199" s="67">
        <f t="shared" si="17"/>
        <v>72</v>
      </c>
      <c r="I199" s="69">
        <f t="shared" si="18"/>
        <v>18.600000000000001</v>
      </c>
    </row>
    <row r="200" spans="1:9" ht="15.75">
      <c r="A200" s="77"/>
      <c r="B200" s="18" t="s">
        <v>272</v>
      </c>
      <c r="C200" s="49"/>
      <c r="D200" s="23">
        <v>3.9</v>
      </c>
      <c r="E200" s="40">
        <f t="shared" si="16"/>
        <v>0.32500000000000001</v>
      </c>
      <c r="F200" s="67">
        <v>6</v>
      </c>
      <c r="G200" s="68">
        <v>12</v>
      </c>
      <c r="H200" s="67">
        <f t="shared" si="17"/>
        <v>72</v>
      </c>
      <c r="I200" s="69">
        <f t="shared" si="18"/>
        <v>23.400000000000002</v>
      </c>
    </row>
    <row r="201" spans="1:9" ht="15.75">
      <c r="A201" s="77"/>
      <c r="B201" s="18" t="s">
        <v>273</v>
      </c>
      <c r="C201" s="49"/>
      <c r="D201" s="23">
        <v>4.5999999999999996</v>
      </c>
      <c r="E201" s="40">
        <f t="shared" si="16"/>
        <v>0.3833333333333333</v>
      </c>
      <c r="F201" s="67">
        <v>6</v>
      </c>
      <c r="G201" s="68">
        <v>10</v>
      </c>
      <c r="H201" s="67">
        <f t="shared" si="17"/>
        <v>60</v>
      </c>
      <c r="I201" s="69">
        <f t="shared" si="18"/>
        <v>23</v>
      </c>
    </row>
    <row r="202" spans="1:9" ht="15.75">
      <c r="A202" s="77"/>
      <c r="B202" s="18" t="s">
        <v>274</v>
      </c>
      <c r="C202" s="49"/>
      <c r="D202" s="23">
        <v>5.6</v>
      </c>
      <c r="E202" s="40">
        <f t="shared" si="16"/>
        <v>0.46666666666666662</v>
      </c>
      <c r="F202" s="67">
        <v>6</v>
      </c>
      <c r="G202" s="68">
        <v>10</v>
      </c>
      <c r="H202" s="67">
        <f t="shared" si="17"/>
        <v>60</v>
      </c>
      <c r="I202" s="69">
        <f t="shared" si="18"/>
        <v>27.999999999999996</v>
      </c>
    </row>
    <row r="203" spans="1:9" ht="16.5" thickBot="1">
      <c r="A203" s="78"/>
      <c r="B203" s="20" t="s">
        <v>275</v>
      </c>
      <c r="C203" s="51"/>
      <c r="D203" s="22">
        <v>6.6749999999999998</v>
      </c>
      <c r="E203" s="41">
        <f t="shared" ref="E203:E266" si="19">D203/12</f>
        <v>0.55625000000000002</v>
      </c>
      <c r="F203" s="67">
        <v>6</v>
      </c>
      <c r="G203" s="68">
        <v>6</v>
      </c>
      <c r="H203" s="67">
        <f t="shared" si="17"/>
        <v>36</v>
      </c>
      <c r="I203" s="69">
        <f t="shared" si="18"/>
        <v>20.025000000000002</v>
      </c>
    </row>
    <row r="204" spans="1:9" ht="15.75">
      <c r="A204" s="76" t="s">
        <v>288</v>
      </c>
      <c r="B204" s="19" t="s">
        <v>174</v>
      </c>
      <c r="C204" s="7" t="s">
        <v>279</v>
      </c>
      <c r="D204" s="21">
        <v>1.4750000000000001</v>
      </c>
      <c r="E204" s="39">
        <f t="shared" si="19"/>
        <v>0.12291666666666667</v>
      </c>
      <c r="F204" s="67">
        <v>10</v>
      </c>
      <c r="G204" s="68">
        <v>18</v>
      </c>
      <c r="H204" s="67">
        <f t="shared" si="17"/>
        <v>180</v>
      </c>
      <c r="I204" s="69">
        <f t="shared" si="18"/>
        <v>22.125</v>
      </c>
    </row>
    <row r="205" spans="1:9" ht="15.75">
      <c r="A205" s="77"/>
      <c r="B205" s="18" t="s">
        <v>175</v>
      </c>
      <c r="C205" s="5" t="s">
        <v>279</v>
      </c>
      <c r="D205" s="23">
        <v>2.0499999999999998</v>
      </c>
      <c r="E205" s="40">
        <f t="shared" si="19"/>
        <v>0.17083333333333331</v>
      </c>
      <c r="F205" s="67">
        <v>8</v>
      </c>
      <c r="G205" s="68">
        <v>18</v>
      </c>
      <c r="H205" s="67">
        <f t="shared" si="17"/>
        <v>144</v>
      </c>
      <c r="I205" s="69">
        <f t="shared" si="18"/>
        <v>24.599999999999998</v>
      </c>
    </row>
    <row r="206" spans="1:9" ht="15.75">
      <c r="A206" s="77"/>
      <c r="B206" s="18" t="s">
        <v>270</v>
      </c>
      <c r="C206" s="5" t="s">
        <v>279</v>
      </c>
      <c r="D206" s="23">
        <v>2.9</v>
      </c>
      <c r="E206" s="40">
        <f t="shared" si="19"/>
        <v>0.24166666666666667</v>
      </c>
      <c r="F206" s="67">
        <v>8</v>
      </c>
      <c r="G206" s="68">
        <v>16</v>
      </c>
      <c r="H206" s="67">
        <f t="shared" si="17"/>
        <v>128</v>
      </c>
      <c r="I206" s="69">
        <f t="shared" si="18"/>
        <v>30.933333333333334</v>
      </c>
    </row>
    <row r="207" spans="1:9" ht="15.75">
      <c r="A207" s="77"/>
      <c r="B207" s="18" t="s">
        <v>271</v>
      </c>
      <c r="C207" s="5" t="s">
        <v>279</v>
      </c>
      <c r="D207" s="23">
        <v>3.7749999999999999</v>
      </c>
      <c r="E207" s="40">
        <f t="shared" si="19"/>
        <v>0.31458333333333333</v>
      </c>
      <c r="F207" s="67">
        <v>8</v>
      </c>
      <c r="G207" s="68">
        <v>12</v>
      </c>
      <c r="H207" s="67">
        <f t="shared" si="17"/>
        <v>96</v>
      </c>
      <c r="I207" s="69">
        <f t="shared" si="18"/>
        <v>30.2</v>
      </c>
    </row>
    <row r="208" spans="1:9" ht="15.75">
      <c r="A208" s="77"/>
      <c r="B208" s="18" t="s">
        <v>272</v>
      </c>
      <c r="C208" s="5" t="s">
        <v>279</v>
      </c>
      <c r="D208" s="23">
        <v>4.6500000000000004</v>
      </c>
      <c r="E208" s="40">
        <f t="shared" si="19"/>
        <v>0.38750000000000001</v>
      </c>
      <c r="F208" s="67">
        <v>8</v>
      </c>
      <c r="G208" s="68">
        <v>12</v>
      </c>
      <c r="H208" s="67">
        <f t="shared" si="17"/>
        <v>96</v>
      </c>
      <c r="I208" s="69">
        <f t="shared" si="18"/>
        <v>37.200000000000003</v>
      </c>
    </row>
    <row r="209" spans="1:9" ht="15.75">
      <c r="A209" s="77"/>
      <c r="B209" s="18" t="s">
        <v>273</v>
      </c>
      <c r="C209" s="5" t="s">
        <v>279</v>
      </c>
      <c r="D209" s="23">
        <v>5.65</v>
      </c>
      <c r="E209" s="40">
        <f t="shared" si="19"/>
        <v>0.47083333333333338</v>
      </c>
      <c r="F209" s="67">
        <v>8</v>
      </c>
      <c r="G209" s="68">
        <v>10</v>
      </c>
      <c r="H209" s="67">
        <f t="shared" si="17"/>
        <v>80</v>
      </c>
      <c r="I209" s="69">
        <f t="shared" si="18"/>
        <v>37.666666666666671</v>
      </c>
    </row>
    <row r="210" spans="1:9" ht="15.75">
      <c r="A210" s="77"/>
      <c r="B210" s="18" t="s">
        <v>274</v>
      </c>
      <c r="C210" s="5" t="s">
        <v>279</v>
      </c>
      <c r="D210" s="23">
        <v>6.3250000000000002</v>
      </c>
      <c r="E210" s="40">
        <f t="shared" si="19"/>
        <v>0.52708333333333335</v>
      </c>
      <c r="F210" s="67">
        <v>8</v>
      </c>
      <c r="G210" s="68">
        <v>10</v>
      </c>
      <c r="H210" s="67">
        <f t="shared" si="17"/>
        <v>80</v>
      </c>
      <c r="I210" s="69">
        <f t="shared" si="18"/>
        <v>42.166666666666671</v>
      </c>
    </row>
    <row r="211" spans="1:9" ht="15.75">
      <c r="A211" s="77"/>
      <c r="B211" s="18" t="s">
        <v>275</v>
      </c>
      <c r="C211" s="5" t="s">
        <v>279</v>
      </c>
      <c r="D211" s="23">
        <v>7.65</v>
      </c>
      <c r="E211" s="40">
        <f t="shared" si="19"/>
        <v>0.63750000000000007</v>
      </c>
      <c r="F211" s="67">
        <v>8</v>
      </c>
      <c r="G211" s="68">
        <v>6</v>
      </c>
      <c r="H211" s="67">
        <f t="shared" si="17"/>
        <v>48</v>
      </c>
      <c r="I211" s="69">
        <f t="shared" si="18"/>
        <v>30.6</v>
      </c>
    </row>
    <row r="212" spans="1:9" ht="15.75">
      <c r="A212" s="77"/>
      <c r="B212" s="18" t="s">
        <v>276</v>
      </c>
      <c r="C212" s="5" t="s">
        <v>279</v>
      </c>
      <c r="D212" s="23"/>
      <c r="E212" s="40">
        <f t="shared" si="19"/>
        <v>0</v>
      </c>
      <c r="F212" s="67">
        <v>3</v>
      </c>
      <c r="G212" s="68">
        <v>6</v>
      </c>
      <c r="H212" s="67">
        <f t="shared" si="17"/>
        <v>18</v>
      </c>
      <c r="I212" s="69">
        <f t="shared" si="18"/>
        <v>0</v>
      </c>
    </row>
    <row r="213" spans="1:9" ht="15.75">
      <c r="A213" s="77"/>
      <c r="B213" s="18" t="s">
        <v>277</v>
      </c>
      <c r="C213" s="5" t="s">
        <v>279</v>
      </c>
      <c r="D213" s="23"/>
      <c r="E213" s="40">
        <f t="shared" si="19"/>
        <v>0</v>
      </c>
      <c r="F213" s="67">
        <v>3</v>
      </c>
      <c r="G213" s="68">
        <v>6</v>
      </c>
      <c r="H213" s="67">
        <f t="shared" si="17"/>
        <v>18</v>
      </c>
      <c r="I213" s="69">
        <f t="shared" si="18"/>
        <v>0</v>
      </c>
    </row>
    <row r="214" spans="1:9" ht="16.5" thickBot="1">
      <c r="A214" s="78"/>
      <c r="B214" s="20" t="s">
        <v>278</v>
      </c>
      <c r="C214" s="6" t="s">
        <v>279</v>
      </c>
      <c r="D214" s="22"/>
      <c r="E214" s="41">
        <f t="shared" si="19"/>
        <v>0</v>
      </c>
      <c r="F214" s="67">
        <v>3</v>
      </c>
      <c r="G214" s="68">
        <v>6</v>
      </c>
      <c r="H214" s="67">
        <f t="shared" si="17"/>
        <v>18</v>
      </c>
      <c r="I214" s="69">
        <f t="shared" si="18"/>
        <v>0</v>
      </c>
    </row>
    <row r="215" spans="1:9" ht="15.75">
      <c r="A215" s="76" t="s">
        <v>289</v>
      </c>
      <c r="B215" s="19" t="s">
        <v>174</v>
      </c>
      <c r="C215" s="30" t="s">
        <v>280</v>
      </c>
      <c r="D215" s="57"/>
      <c r="E215" s="39">
        <f t="shared" si="19"/>
        <v>0</v>
      </c>
      <c r="F215" s="67"/>
      <c r="G215" s="68"/>
      <c r="H215" s="67">
        <f t="shared" si="17"/>
        <v>0</v>
      </c>
      <c r="I215" s="69">
        <f t="shared" si="18"/>
        <v>0</v>
      </c>
    </row>
    <row r="216" spans="1:9" ht="15.75">
      <c r="A216" s="77"/>
      <c r="B216" s="18" t="s">
        <v>175</v>
      </c>
      <c r="C216" s="31" t="s">
        <v>280</v>
      </c>
      <c r="D216" s="58">
        <v>3.2250000000000001</v>
      </c>
      <c r="E216" s="40">
        <f t="shared" si="19"/>
        <v>0.26874999999999999</v>
      </c>
      <c r="F216" s="67">
        <v>6</v>
      </c>
      <c r="G216" s="68">
        <v>18</v>
      </c>
      <c r="H216" s="67">
        <f t="shared" si="17"/>
        <v>108</v>
      </c>
      <c r="I216" s="69">
        <f t="shared" si="18"/>
        <v>29.024999999999999</v>
      </c>
    </row>
    <row r="217" spans="1:9" ht="15.75">
      <c r="A217" s="77"/>
      <c r="B217" s="18" t="s">
        <v>270</v>
      </c>
      <c r="C217" s="31" t="s">
        <v>280</v>
      </c>
      <c r="D217" s="58">
        <v>4.45</v>
      </c>
      <c r="E217" s="40">
        <f t="shared" si="19"/>
        <v>0.37083333333333335</v>
      </c>
      <c r="F217" s="67">
        <v>6</v>
      </c>
      <c r="G217" s="68">
        <v>16</v>
      </c>
      <c r="H217" s="67">
        <f t="shared" si="17"/>
        <v>96</v>
      </c>
      <c r="I217" s="69">
        <f t="shared" si="18"/>
        <v>35.6</v>
      </c>
    </row>
    <row r="218" spans="1:9" ht="15.75">
      <c r="A218" s="77"/>
      <c r="B218" s="18" t="s">
        <v>271</v>
      </c>
      <c r="C218" s="31" t="s">
        <v>280</v>
      </c>
      <c r="D218" s="58">
        <v>5.8</v>
      </c>
      <c r="E218" s="40">
        <f t="shared" si="19"/>
        <v>0.48333333333333334</v>
      </c>
      <c r="F218" s="67">
        <v>6</v>
      </c>
      <c r="G218" s="68">
        <v>12</v>
      </c>
      <c r="H218" s="67">
        <f t="shared" si="17"/>
        <v>72</v>
      </c>
      <c r="I218" s="69">
        <f t="shared" si="18"/>
        <v>34.799999999999997</v>
      </c>
    </row>
    <row r="219" spans="1:9" ht="15.75">
      <c r="A219" s="77"/>
      <c r="B219" s="18" t="s">
        <v>272</v>
      </c>
      <c r="C219" s="31" t="s">
        <v>280</v>
      </c>
      <c r="D219" s="58">
        <v>7.25</v>
      </c>
      <c r="E219" s="40">
        <f t="shared" si="19"/>
        <v>0.60416666666666663</v>
      </c>
      <c r="F219" s="67">
        <v>6</v>
      </c>
      <c r="G219" s="68">
        <v>12</v>
      </c>
      <c r="H219" s="67">
        <f t="shared" si="17"/>
        <v>72</v>
      </c>
      <c r="I219" s="69">
        <f t="shared" si="18"/>
        <v>43.5</v>
      </c>
    </row>
    <row r="220" spans="1:9" ht="15.75">
      <c r="A220" s="77"/>
      <c r="B220" s="18" t="s">
        <v>273</v>
      </c>
      <c r="C220" s="31" t="s">
        <v>280</v>
      </c>
      <c r="D220" s="58">
        <v>8.625</v>
      </c>
      <c r="E220" s="40">
        <f t="shared" si="19"/>
        <v>0.71875</v>
      </c>
      <c r="F220" s="67">
        <v>6</v>
      </c>
      <c r="G220" s="68">
        <v>10</v>
      </c>
      <c r="H220" s="67">
        <f t="shared" si="17"/>
        <v>60</v>
      </c>
      <c r="I220" s="69">
        <f t="shared" si="18"/>
        <v>43.125</v>
      </c>
    </row>
    <row r="221" spans="1:9" ht="15.75">
      <c r="A221" s="77"/>
      <c r="B221" s="18" t="s">
        <v>274</v>
      </c>
      <c r="C221" s="31" t="s">
        <v>280</v>
      </c>
      <c r="D221" s="58">
        <v>9.7750000000000004</v>
      </c>
      <c r="E221" s="40">
        <f t="shared" si="19"/>
        <v>0.81458333333333333</v>
      </c>
      <c r="F221" s="67">
        <v>6</v>
      </c>
      <c r="G221" s="68">
        <v>10</v>
      </c>
      <c r="H221" s="67">
        <f t="shared" si="17"/>
        <v>60</v>
      </c>
      <c r="I221" s="69">
        <f t="shared" si="18"/>
        <v>48.875</v>
      </c>
    </row>
    <row r="222" spans="1:9" ht="15.75">
      <c r="A222" s="77"/>
      <c r="B222" s="18" t="s">
        <v>275</v>
      </c>
      <c r="C222" s="31" t="s">
        <v>280</v>
      </c>
      <c r="D222" s="58">
        <v>11.5</v>
      </c>
      <c r="E222" s="40">
        <f t="shared" si="19"/>
        <v>0.95833333333333337</v>
      </c>
      <c r="F222" s="67">
        <v>6</v>
      </c>
      <c r="G222" s="68">
        <v>6</v>
      </c>
      <c r="H222" s="67">
        <f t="shared" si="17"/>
        <v>36</v>
      </c>
      <c r="I222" s="69">
        <f t="shared" si="18"/>
        <v>34.5</v>
      </c>
    </row>
    <row r="223" spans="1:9" ht="15.75">
      <c r="A223" s="77"/>
      <c r="B223" s="18" t="s">
        <v>276</v>
      </c>
      <c r="C223" s="31" t="s">
        <v>280</v>
      </c>
      <c r="D223" s="58">
        <v>15</v>
      </c>
      <c r="E223" s="40">
        <f t="shared" si="19"/>
        <v>1.25</v>
      </c>
      <c r="F223" s="67">
        <v>2</v>
      </c>
      <c r="G223" s="68">
        <v>6</v>
      </c>
      <c r="H223" s="67">
        <f t="shared" si="17"/>
        <v>12</v>
      </c>
      <c r="I223" s="69">
        <f t="shared" si="18"/>
        <v>15</v>
      </c>
    </row>
    <row r="224" spans="1:9" ht="15.75">
      <c r="A224" s="77"/>
      <c r="B224" s="18" t="s">
        <v>277</v>
      </c>
      <c r="C224" s="31" t="s">
        <v>280</v>
      </c>
      <c r="D224" s="58"/>
      <c r="E224" s="40">
        <f t="shared" si="19"/>
        <v>0</v>
      </c>
      <c r="F224" s="67">
        <v>2</v>
      </c>
      <c r="G224" s="68">
        <v>6</v>
      </c>
      <c r="H224" s="67">
        <f t="shared" si="17"/>
        <v>12</v>
      </c>
      <c r="I224" s="69">
        <f t="shared" si="18"/>
        <v>0</v>
      </c>
    </row>
    <row r="225" spans="1:9" ht="16.5" thickBot="1">
      <c r="A225" s="78"/>
      <c r="B225" s="20" t="s">
        <v>278</v>
      </c>
      <c r="C225" s="32" t="s">
        <v>280</v>
      </c>
      <c r="D225" s="59">
        <v>22.25</v>
      </c>
      <c r="E225" s="41">
        <f t="shared" si="19"/>
        <v>1.8541666666666667</v>
      </c>
      <c r="F225" s="67">
        <v>2</v>
      </c>
      <c r="G225" s="68">
        <v>6</v>
      </c>
      <c r="H225" s="67">
        <f t="shared" si="17"/>
        <v>12</v>
      </c>
      <c r="I225" s="69">
        <f t="shared" si="18"/>
        <v>22.25</v>
      </c>
    </row>
    <row r="226" spans="1:9" ht="15.75">
      <c r="A226" s="76" t="s">
        <v>290</v>
      </c>
      <c r="B226" s="19" t="s">
        <v>174</v>
      </c>
      <c r="C226" s="30" t="s">
        <v>268</v>
      </c>
      <c r="D226" s="57"/>
      <c r="E226" s="39">
        <f t="shared" si="19"/>
        <v>0</v>
      </c>
      <c r="F226" s="67"/>
      <c r="G226" s="68"/>
      <c r="H226" s="67">
        <f t="shared" si="17"/>
        <v>0</v>
      </c>
      <c r="I226" s="69">
        <f t="shared" si="18"/>
        <v>0</v>
      </c>
    </row>
    <row r="227" spans="1:9" ht="15.75">
      <c r="A227" s="77"/>
      <c r="B227" s="18" t="s">
        <v>175</v>
      </c>
      <c r="C227" s="31" t="s">
        <v>268</v>
      </c>
      <c r="D227" s="58"/>
      <c r="E227" s="40">
        <f t="shared" si="19"/>
        <v>0</v>
      </c>
      <c r="F227" s="67"/>
      <c r="G227" s="68"/>
      <c r="H227" s="67">
        <f t="shared" si="17"/>
        <v>0</v>
      </c>
      <c r="I227" s="69">
        <f t="shared" si="18"/>
        <v>0</v>
      </c>
    </row>
    <row r="228" spans="1:9" ht="15.75">
      <c r="A228" s="77"/>
      <c r="B228" s="18" t="s">
        <v>270</v>
      </c>
      <c r="C228" s="31" t="s">
        <v>268</v>
      </c>
      <c r="D228" s="58">
        <v>7.55</v>
      </c>
      <c r="E228" s="40">
        <f t="shared" si="19"/>
        <v>0.62916666666666665</v>
      </c>
      <c r="F228" s="67">
        <v>4</v>
      </c>
      <c r="G228" s="68">
        <v>16</v>
      </c>
      <c r="H228" s="67">
        <f t="shared" si="17"/>
        <v>64</v>
      </c>
      <c r="I228" s="69">
        <f t="shared" si="18"/>
        <v>40.266666666666666</v>
      </c>
    </row>
    <row r="229" spans="1:9" ht="15.75">
      <c r="A229" s="77"/>
      <c r="B229" s="18" t="s">
        <v>271</v>
      </c>
      <c r="C229" s="31" t="s">
        <v>268</v>
      </c>
      <c r="D229" s="58">
        <v>9.9749999999999996</v>
      </c>
      <c r="E229" s="40">
        <f t="shared" si="19"/>
        <v>0.83124999999999993</v>
      </c>
      <c r="F229" s="67">
        <v>4</v>
      </c>
      <c r="G229" s="68">
        <v>12</v>
      </c>
      <c r="H229" s="67">
        <f t="shared" si="17"/>
        <v>48</v>
      </c>
      <c r="I229" s="69">
        <f t="shared" si="18"/>
        <v>39.9</v>
      </c>
    </row>
    <row r="230" spans="1:9" ht="15.75">
      <c r="A230" s="77"/>
      <c r="B230" s="18" t="s">
        <v>272</v>
      </c>
      <c r="C230" s="31" t="s">
        <v>268</v>
      </c>
      <c r="D230" s="58">
        <v>12.45</v>
      </c>
      <c r="E230" s="40">
        <f t="shared" si="19"/>
        <v>1.0374999999999999</v>
      </c>
      <c r="F230" s="67">
        <v>4</v>
      </c>
      <c r="G230" s="68">
        <v>12</v>
      </c>
      <c r="H230" s="67">
        <f t="shared" si="17"/>
        <v>48</v>
      </c>
      <c r="I230" s="69">
        <f t="shared" si="18"/>
        <v>49.8</v>
      </c>
    </row>
    <row r="231" spans="1:9" ht="15.75">
      <c r="A231" s="77"/>
      <c r="B231" s="18" t="s">
        <v>273</v>
      </c>
      <c r="C231" s="31" t="s">
        <v>268</v>
      </c>
      <c r="D231" s="58">
        <v>15.05</v>
      </c>
      <c r="E231" s="40">
        <f t="shared" si="19"/>
        <v>1.2541666666666667</v>
      </c>
      <c r="F231" s="67">
        <v>4</v>
      </c>
      <c r="G231" s="68">
        <v>10</v>
      </c>
      <c r="H231" s="67">
        <f t="shared" si="17"/>
        <v>40</v>
      </c>
      <c r="I231" s="69">
        <f t="shared" si="18"/>
        <v>50.166666666666664</v>
      </c>
    </row>
    <row r="232" spans="1:9" ht="15.75">
      <c r="A232" s="77"/>
      <c r="B232" s="18" t="s">
        <v>274</v>
      </c>
      <c r="C232" s="31" t="s">
        <v>268</v>
      </c>
      <c r="D232" s="58">
        <v>16.975000000000001</v>
      </c>
      <c r="E232" s="40">
        <f t="shared" si="19"/>
        <v>1.4145833333333335</v>
      </c>
      <c r="F232" s="67">
        <v>4</v>
      </c>
      <c r="G232" s="68">
        <v>10</v>
      </c>
      <c r="H232" s="67">
        <f t="shared" si="17"/>
        <v>40</v>
      </c>
      <c r="I232" s="69">
        <f t="shared" si="18"/>
        <v>56.583333333333343</v>
      </c>
    </row>
    <row r="233" spans="1:9" ht="15.75">
      <c r="A233" s="77"/>
      <c r="B233" s="18" t="s">
        <v>275</v>
      </c>
      <c r="C233" s="31" t="s">
        <v>268</v>
      </c>
      <c r="D233" s="58">
        <v>20</v>
      </c>
      <c r="E233" s="40">
        <f t="shared" si="19"/>
        <v>1.6666666666666667</v>
      </c>
      <c r="F233" s="67">
        <v>3</v>
      </c>
      <c r="G233" s="68">
        <v>6</v>
      </c>
      <c r="H233" s="67">
        <f t="shared" si="17"/>
        <v>18</v>
      </c>
      <c r="I233" s="69">
        <f t="shared" si="18"/>
        <v>30</v>
      </c>
    </row>
    <row r="234" spans="1:9" ht="15.75">
      <c r="A234" s="77"/>
      <c r="B234" s="18" t="s">
        <v>276</v>
      </c>
      <c r="C234" s="31" t="s">
        <v>268</v>
      </c>
      <c r="D234" s="58">
        <v>26</v>
      </c>
      <c r="E234" s="40">
        <f t="shared" si="19"/>
        <v>2.1666666666666665</v>
      </c>
      <c r="F234" s="67">
        <v>2</v>
      </c>
      <c r="G234" s="68">
        <v>6</v>
      </c>
      <c r="H234" s="67">
        <f t="shared" si="17"/>
        <v>12</v>
      </c>
      <c r="I234" s="69">
        <f t="shared" si="18"/>
        <v>26</v>
      </c>
    </row>
    <row r="235" spans="1:9" ht="15.75">
      <c r="A235" s="77"/>
      <c r="B235" s="18" t="s">
        <v>277</v>
      </c>
      <c r="C235" s="31" t="s">
        <v>268</v>
      </c>
      <c r="D235" s="58">
        <v>31.375</v>
      </c>
      <c r="E235" s="40">
        <f t="shared" si="19"/>
        <v>2.6145833333333335</v>
      </c>
      <c r="F235" s="67">
        <v>2</v>
      </c>
      <c r="G235" s="68">
        <v>6</v>
      </c>
      <c r="H235" s="67">
        <f t="shared" si="17"/>
        <v>12</v>
      </c>
      <c r="I235" s="69">
        <f t="shared" si="18"/>
        <v>31.375</v>
      </c>
    </row>
    <row r="236" spans="1:9" ht="16.5" thickBot="1">
      <c r="A236" s="78"/>
      <c r="B236" s="64" t="s">
        <v>278</v>
      </c>
      <c r="C236" s="63" t="s">
        <v>268</v>
      </c>
      <c r="D236" s="65">
        <v>38.325000000000003</v>
      </c>
      <c r="E236" s="41">
        <f t="shared" si="19"/>
        <v>3.1937500000000001</v>
      </c>
      <c r="F236" s="67">
        <v>2</v>
      </c>
      <c r="G236" s="68">
        <v>6</v>
      </c>
      <c r="H236" s="67">
        <f t="shared" si="17"/>
        <v>12</v>
      </c>
      <c r="I236" s="69">
        <f t="shared" si="18"/>
        <v>38.325000000000003</v>
      </c>
    </row>
    <row r="237" spans="1:9" ht="15.75">
      <c r="A237" s="76" t="s">
        <v>297</v>
      </c>
      <c r="B237" s="60" t="s">
        <v>174</v>
      </c>
      <c r="C237" s="30" t="s">
        <v>267</v>
      </c>
      <c r="D237" s="52">
        <v>1.55</v>
      </c>
      <c r="E237" s="39">
        <f t="shared" si="19"/>
        <v>0.12916666666666668</v>
      </c>
      <c r="F237" s="67">
        <v>10</v>
      </c>
      <c r="G237" s="68">
        <v>18</v>
      </c>
      <c r="H237" s="67">
        <f t="shared" ref="H237:H300" si="20">G237*F237</f>
        <v>180</v>
      </c>
      <c r="I237" s="69">
        <f t="shared" ref="I237:I300" si="21">H237*E237</f>
        <v>23.250000000000004</v>
      </c>
    </row>
    <row r="238" spans="1:9" ht="15.75">
      <c r="A238" s="77"/>
      <c r="B238" s="61" t="s">
        <v>175</v>
      </c>
      <c r="C238" s="31" t="s">
        <v>267</v>
      </c>
      <c r="D238" s="53">
        <v>2.0499999999999998</v>
      </c>
      <c r="E238" s="40">
        <f t="shared" si="19"/>
        <v>0.17083333333333331</v>
      </c>
      <c r="F238" s="67">
        <v>8</v>
      </c>
      <c r="G238" s="68">
        <v>18</v>
      </c>
      <c r="H238" s="67">
        <f t="shared" si="20"/>
        <v>144</v>
      </c>
      <c r="I238" s="69">
        <f t="shared" si="21"/>
        <v>24.599999999999998</v>
      </c>
    </row>
    <row r="239" spans="1:9" ht="15.75">
      <c r="A239" s="77"/>
      <c r="B239" s="61" t="s">
        <v>270</v>
      </c>
      <c r="C239" s="31" t="s">
        <v>267</v>
      </c>
      <c r="D239" s="53">
        <v>2.2749999999999999</v>
      </c>
      <c r="E239" s="40">
        <f t="shared" si="19"/>
        <v>0.18958333333333333</v>
      </c>
      <c r="F239" s="67">
        <v>8</v>
      </c>
      <c r="G239" s="68">
        <v>16</v>
      </c>
      <c r="H239" s="67">
        <f t="shared" si="20"/>
        <v>128</v>
      </c>
      <c r="I239" s="69">
        <f t="shared" si="21"/>
        <v>24.266666666666666</v>
      </c>
    </row>
    <row r="240" spans="1:9" ht="15.75">
      <c r="A240" s="77"/>
      <c r="B240" s="61" t="s">
        <v>271</v>
      </c>
      <c r="C240" s="31" t="s">
        <v>267</v>
      </c>
      <c r="D240" s="53">
        <v>2.95</v>
      </c>
      <c r="E240" s="40">
        <f t="shared" si="19"/>
        <v>0.24583333333333335</v>
      </c>
      <c r="F240" s="67">
        <v>8</v>
      </c>
      <c r="G240" s="68">
        <v>12</v>
      </c>
      <c r="H240" s="67">
        <f t="shared" si="20"/>
        <v>96</v>
      </c>
      <c r="I240" s="69">
        <f t="shared" si="21"/>
        <v>23.6</v>
      </c>
    </row>
    <row r="241" spans="1:9" ht="15.75">
      <c r="A241" s="77"/>
      <c r="B241" s="61" t="s">
        <v>272</v>
      </c>
      <c r="C241" s="31" t="s">
        <v>267</v>
      </c>
      <c r="D241" s="53">
        <v>3.5750000000000002</v>
      </c>
      <c r="E241" s="40">
        <f t="shared" si="19"/>
        <v>0.29791666666666666</v>
      </c>
      <c r="F241" s="67">
        <v>8</v>
      </c>
      <c r="G241" s="68">
        <v>12</v>
      </c>
      <c r="H241" s="67">
        <f t="shared" si="20"/>
        <v>96</v>
      </c>
      <c r="I241" s="69">
        <f t="shared" si="21"/>
        <v>28.6</v>
      </c>
    </row>
    <row r="242" spans="1:9" ht="15.75">
      <c r="A242" s="77"/>
      <c r="B242" s="61" t="s">
        <v>273</v>
      </c>
      <c r="C242" s="31" t="s">
        <v>267</v>
      </c>
      <c r="D242" s="53">
        <v>4.3</v>
      </c>
      <c r="E242" s="40">
        <f t="shared" si="19"/>
        <v>0.35833333333333334</v>
      </c>
      <c r="F242" s="67">
        <v>8</v>
      </c>
      <c r="G242" s="68">
        <v>10</v>
      </c>
      <c r="H242" s="67">
        <f t="shared" si="20"/>
        <v>80</v>
      </c>
      <c r="I242" s="69">
        <f t="shared" si="21"/>
        <v>28.666666666666668</v>
      </c>
    </row>
    <row r="243" spans="1:9" ht="15.75">
      <c r="A243" s="77"/>
      <c r="B243" s="61" t="s">
        <v>274</v>
      </c>
      <c r="C243" s="31" t="s">
        <v>267</v>
      </c>
      <c r="D243" s="53">
        <v>4.5</v>
      </c>
      <c r="E243" s="40">
        <f t="shared" si="19"/>
        <v>0.375</v>
      </c>
      <c r="F243" s="67">
        <v>8</v>
      </c>
      <c r="G243" s="68">
        <v>10</v>
      </c>
      <c r="H243" s="67">
        <f t="shared" si="20"/>
        <v>80</v>
      </c>
      <c r="I243" s="69">
        <f t="shared" si="21"/>
        <v>30</v>
      </c>
    </row>
    <row r="244" spans="1:9" ht="15.75">
      <c r="A244" s="77"/>
      <c r="B244" s="61" t="s">
        <v>275</v>
      </c>
      <c r="C244" s="31" t="s">
        <v>267</v>
      </c>
      <c r="D244" s="53">
        <v>5.15</v>
      </c>
      <c r="E244" s="40">
        <f t="shared" si="19"/>
        <v>0.4291666666666667</v>
      </c>
      <c r="F244" s="67">
        <v>8</v>
      </c>
      <c r="G244" s="68">
        <v>6</v>
      </c>
      <c r="H244" s="67">
        <f t="shared" si="20"/>
        <v>48</v>
      </c>
      <c r="I244" s="69">
        <f t="shared" si="21"/>
        <v>20.6</v>
      </c>
    </row>
    <row r="245" spans="1:9" ht="15.75">
      <c r="A245" s="77"/>
      <c r="B245" s="61" t="s">
        <v>276</v>
      </c>
      <c r="C245" s="31" t="s">
        <v>267</v>
      </c>
      <c r="D245" s="53"/>
      <c r="E245" s="40">
        <f t="shared" si="19"/>
        <v>0</v>
      </c>
      <c r="F245" s="67">
        <v>3</v>
      </c>
      <c r="G245" s="68">
        <v>6</v>
      </c>
      <c r="H245" s="67">
        <f t="shared" si="20"/>
        <v>18</v>
      </c>
      <c r="I245" s="69">
        <f t="shared" si="21"/>
        <v>0</v>
      </c>
    </row>
    <row r="246" spans="1:9" ht="15.75">
      <c r="A246" s="77"/>
      <c r="B246" s="61" t="s">
        <v>277</v>
      </c>
      <c r="C246" s="31" t="s">
        <v>267</v>
      </c>
      <c r="D246" s="53"/>
      <c r="E246" s="40">
        <f t="shared" si="19"/>
        <v>0</v>
      </c>
      <c r="F246" s="67">
        <v>3</v>
      </c>
      <c r="G246" s="68">
        <v>6</v>
      </c>
      <c r="H246" s="67">
        <f t="shared" si="20"/>
        <v>18</v>
      </c>
      <c r="I246" s="69">
        <f t="shared" si="21"/>
        <v>0</v>
      </c>
    </row>
    <row r="247" spans="1:9" ht="16.5" thickBot="1">
      <c r="A247" s="78"/>
      <c r="B247" s="62" t="s">
        <v>278</v>
      </c>
      <c r="C247" s="32" t="s">
        <v>267</v>
      </c>
      <c r="D247" s="54"/>
      <c r="E247" s="41">
        <f t="shared" si="19"/>
        <v>0</v>
      </c>
      <c r="F247" s="67">
        <v>3</v>
      </c>
      <c r="G247" s="68">
        <v>6</v>
      </c>
      <c r="H247" s="67">
        <f t="shared" si="20"/>
        <v>18</v>
      </c>
      <c r="I247" s="69">
        <f t="shared" si="21"/>
        <v>0</v>
      </c>
    </row>
    <row r="248" spans="1:9" ht="15.75">
      <c r="A248" s="76" t="s">
        <v>296</v>
      </c>
      <c r="B248" s="60" t="s">
        <v>174</v>
      </c>
      <c r="C248" s="30" t="s">
        <v>268</v>
      </c>
      <c r="D248" s="52"/>
      <c r="E248" s="39">
        <f t="shared" si="19"/>
        <v>0</v>
      </c>
      <c r="F248" s="67"/>
      <c r="G248" s="68"/>
      <c r="H248" s="67">
        <f t="shared" si="20"/>
        <v>0</v>
      </c>
      <c r="I248" s="69">
        <f t="shared" si="21"/>
        <v>0</v>
      </c>
    </row>
    <row r="249" spans="1:9" ht="15.75">
      <c r="A249" s="77"/>
      <c r="B249" s="61" t="s">
        <v>175</v>
      </c>
      <c r="C249" s="31" t="s">
        <v>268</v>
      </c>
      <c r="D249" s="53">
        <v>2.85</v>
      </c>
      <c r="E249" s="40">
        <f t="shared" si="19"/>
        <v>0.23750000000000002</v>
      </c>
      <c r="F249" s="67">
        <v>6</v>
      </c>
      <c r="G249" s="68">
        <v>18</v>
      </c>
      <c r="H249" s="67">
        <f t="shared" si="20"/>
        <v>108</v>
      </c>
      <c r="I249" s="69">
        <f t="shared" si="21"/>
        <v>25.650000000000002</v>
      </c>
    </row>
    <row r="250" spans="1:9" ht="15.75">
      <c r="A250" s="77"/>
      <c r="B250" s="61" t="s">
        <v>270</v>
      </c>
      <c r="C250" s="31" t="s">
        <v>268</v>
      </c>
      <c r="D250" s="53">
        <v>4.1500000000000004</v>
      </c>
      <c r="E250" s="40">
        <f t="shared" si="19"/>
        <v>0.34583333333333338</v>
      </c>
      <c r="F250" s="67">
        <v>6</v>
      </c>
      <c r="G250" s="68">
        <v>16</v>
      </c>
      <c r="H250" s="67">
        <f t="shared" si="20"/>
        <v>96</v>
      </c>
      <c r="I250" s="69">
        <f t="shared" si="21"/>
        <v>33.200000000000003</v>
      </c>
    </row>
    <row r="251" spans="1:9" ht="15.75">
      <c r="A251" s="77"/>
      <c r="B251" s="61" t="s">
        <v>271</v>
      </c>
      <c r="C251" s="31" t="s">
        <v>268</v>
      </c>
      <c r="D251" s="53">
        <v>5.5</v>
      </c>
      <c r="E251" s="40">
        <f t="shared" si="19"/>
        <v>0.45833333333333331</v>
      </c>
      <c r="F251" s="67">
        <v>6</v>
      </c>
      <c r="G251" s="68">
        <v>12</v>
      </c>
      <c r="H251" s="67">
        <f t="shared" si="20"/>
        <v>72</v>
      </c>
      <c r="I251" s="69">
        <f t="shared" si="21"/>
        <v>33</v>
      </c>
    </row>
    <row r="252" spans="1:9" ht="15.75">
      <c r="A252" s="77"/>
      <c r="B252" s="61" t="s">
        <v>272</v>
      </c>
      <c r="C252" s="31" t="s">
        <v>268</v>
      </c>
      <c r="D252" s="53">
        <v>6.6749999999999998</v>
      </c>
      <c r="E252" s="40">
        <f t="shared" si="19"/>
        <v>0.55625000000000002</v>
      </c>
      <c r="F252" s="67">
        <v>6</v>
      </c>
      <c r="G252" s="68">
        <v>12</v>
      </c>
      <c r="H252" s="67">
        <f t="shared" si="20"/>
        <v>72</v>
      </c>
      <c r="I252" s="69">
        <f t="shared" si="21"/>
        <v>40.050000000000004</v>
      </c>
    </row>
    <row r="253" spans="1:9" ht="15.75">
      <c r="A253" s="77"/>
      <c r="B253" s="61" t="s">
        <v>273</v>
      </c>
      <c r="C253" s="31" t="s">
        <v>268</v>
      </c>
      <c r="D253" s="53">
        <v>8</v>
      </c>
      <c r="E253" s="40">
        <f t="shared" si="19"/>
        <v>0.66666666666666663</v>
      </c>
      <c r="F253" s="67">
        <v>6</v>
      </c>
      <c r="G253" s="68">
        <v>10</v>
      </c>
      <c r="H253" s="67">
        <f t="shared" si="20"/>
        <v>60</v>
      </c>
      <c r="I253" s="69">
        <f t="shared" si="21"/>
        <v>40</v>
      </c>
    </row>
    <row r="254" spans="1:9" ht="15.75">
      <c r="A254" s="77"/>
      <c r="B254" s="61" t="s">
        <v>274</v>
      </c>
      <c r="C254" s="31" t="s">
        <v>268</v>
      </c>
      <c r="D254" s="53">
        <v>7.75</v>
      </c>
      <c r="E254" s="40">
        <f t="shared" si="19"/>
        <v>0.64583333333333337</v>
      </c>
      <c r="F254" s="67">
        <v>6</v>
      </c>
      <c r="G254" s="68">
        <v>10</v>
      </c>
      <c r="H254" s="67">
        <f t="shared" si="20"/>
        <v>60</v>
      </c>
      <c r="I254" s="69">
        <f t="shared" si="21"/>
        <v>38.75</v>
      </c>
    </row>
    <row r="255" spans="1:9" ht="15.75">
      <c r="A255" s="77"/>
      <c r="B255" s="61" t="s">
        <v>275</v>
      </c>
      <c r="C255" s="31" t="s">
        <v>268</v>
      </c>
      <c r="D255" s="53">
        <v>9.1</v>
      </c>
      <c r="E255" s="40">
        <f t="shared" si="19"/>
        <v>0.7583333333333333</v>
      </c>
      <c r="F255" s="67">
        <v>6</v>
      </c>
      <c r="G255" s="68">
        <v>6</v>
      </c>
      <c r="H255" s="67">
        <f t="shared" si="20"/>
        <v>36</v>
      </c>
      <c r="I255" s="69">
        <f t="shared" si="21"/>
        <v>27.299999999999997</v>
      </c>
    </row>
    <row r="256" spans="1:9" ht="15.75">
      <c r="A256" s="77"/>
      <c r="B256" s="61" t="s">
        <v>276</v>
      </c>
      <c r="C256" s="31" t="s">
        <v>268</v>
      </c>
      <c r="D256" s="53">
        <v>13.5</v>
      </c>
      <c r="E256" s="40">
        <f t="shared" si="19"/>
        <v>1.125</v>
      </c>
      <c r="F256" s="67">
        <v>2</v>
      </c>
      <c r="G256" s="68">
        <v>6</v>
      </c>
      <c r="H256" s="67">
        <f t="shared" si="20"/>
        <v>12</v>
      </c>
      <c r="I256" s="69">
        <f t="shared" si="21"/>
        <v>13.5</v>
      </c>
    </row>
    <row r="257" spans="1:9" ht="15.75">
      <c r="A257" s="77"/>
      <c r="B257" s="61" t="s">
        <v>277</v>
      </c>
      <c r="C257" s="31" t="s">
        <v>268</v>
      </c>
      <c r="D257" s="53">
        <v>16.55</v>
      </c>
      <c r="E257" s="40">
        <f t="shared" si="19"/>
        <v>1.3791666666666667</v>
      </c>
      <c r="F257" s="67">
        <v>2</v>
      </c>
      <c r="G257" s="68">
        <v>6</v>
      </c>
      <c r="H257" s="67">
        <f t="shared" si="20"/>
        <v>12</v>
      </c>
      <c r="I257" s="69">
        <f t="shared" si="21"/>
        <v>16.55</v>
      </c>
    </row>
    <row r="258" spans="1:9" ht="16.5" thickBot="1">
      <c r="A258" s="78"/>
      <c r="B258" s="62" t="s">
        <v>278</v>
      </c>
      <c r="C258" s="32" t="s">
        <v>268</v>
      </c>
      <c r="D258" s="54">
        <v>19.850000000000001</v>
      </c>
      <c r="E258" s="41">
        <f t="shared" si="19"/>
        <v>1.6541666666666668</v>
      </c>
      <c r="F258" s="67">
        <v>2</v>
      </c>
      <c r="G258" s="68">
        <v>6</v>
      </c>
      <c r="H258" s="67">
        <f t="shared" si="20"/>
        <v>12</v>
      </c>
      <c r="I258" s="69">
        <f t="shared" si="21"/>
        <v>19.850000000000001</v>
      </c>
    </row>
    <row r="259" spans="1:9" ht="15.75">
      <c r="A259" s="76" t="s">
        <v>295</v>
      </c>
      <c r="B259" s="60" t="s">
        <v>174</v>
      </c>
      <c r="C259" s="30" t="s">
        <v>269</v>
      </c>
      <c r="D259" s="66"/>
      <c r="E259" s="39">
        <f t="shared" si="19"/>
        <v>0</v>
      </c>
      <c r="F259" s="67"/>
      <c r="G259" s="68"/>
      <c r="H259" s="67">
        <f t="shared" si="20"/>
        <v>0</v>
      </c>
      <c r="I259" s="69">
        <f t="shared" si="21"/>
        <v>0</v>
      </c>
    </row>
    <row r="260" spans="1:9" ht="15.75">
      <c r="A260" s="77"/>
      <c r="B260" s="61" t="s">
        <v>175</v>
      </c>
      <c r="C260" s="31" t="s">
        <v>269</v>
      </c>
      <c r="D260" s="55"/>
      <c r="E260" s="40">
        <f t="shared" si="19"/>
        <v>0</v>
      </c>
      <c r="F260" s="67"/>
      <c r="G260" s="68"/>
      <c r="H260" s="67">
        <f t="shared" si="20"/>
        <v>0</v>
      </c>
      <c r="I260" s="69">
        <f t="shared" si="21"/>
        <v>0</v>
      </c>
    </row>
    <row r="261" spans="1:9" ht="15.75">
      <c r="A261" s="77"/>
      <c r="B261" s="61" t="s">
        <v>270</v>
      </c>
      <c r="C261" s="31" t="s">
        <v>269</v>
      </c>
      <c r="D261" s="55">
        <v>8.4</v>
      </c>
      <c r="E261" s="40">
        <f t="shared" si="19"/>
        <v>0.70000000000000007</v>
      </c>
      <c r="F261" s="67">
        <v>4</v>
      </c>
      <c r="G261" s="68">
        <v>16</v>
      </c>
      <c r="H261" s="67">
        <f t="shared" si="20"/>
        <v>64</v>
      </c>
      <c r="I261" s="69">
        <f t="shared" si="21"/>
        <v>44.800000000000004</v>
      </c>
    </row>
    <row r="262" spans="1:9" ht="15.75">
      <c r="A262" s="77"/>
      <c r="B262" s="61" t="s">
        <v>271</v>
      </c>
      <c r="C262" s="31" t="s">
        <v>269</v>
      </c>
      <c r="D262" s="55">
        <v>10.65</v>
      </c>
      <c r="E262" s="40">
        <f t="shared" si="19"/>
        <v>0.88750000000000007</v>
      </c>
      <c r="F262" s="67">
        <v>4</v>
      </c>
      <c r="G262" s="68">
        <v>12</v>
      </c>
      <c r="H262" s="67">
        <f t="shared" si="20"/>
        <v>48</v>
      </c>
      <c r="I262" s="69">
        <f t="shared" si="21"/>
        <v>42.6</v>
      </c>
    </row>
    <row r="263" spans="1:9" ht="15.75">
      <c r="A263" s="77"/>
      <c r="B263" s="61" t="s">
        <v>272</v>
      </c>
      <c r="C263" s="31" t="s">
        <v>269</v>
      </c>
      <c r="D263" s="55">
        <v>13.1</v>
      </c>
      <c r="E263" s="40">
        <f t="shared" si="19"/>
        <v>1.0916666666666666</v>
      </c>
      <c r="F263" s="67">
        <v>4</v>
      </c>
      <c r="G263" s="68">
        <v>12</v>
      </c>
      <c r="H263" s="67">
        <f t="shared" si="20"/>
        <v>48</v>
      </c>
      <c r="I263" s="69">
        <f t="shared" si="21"/>
        <v>52.399999999999991</v>
      </c>
    </row>
    <row r="264" spans="1:9" ht="15.75">
      <c r="A264" s="77"/>
      <c r="B264" s="61" t="s">
        <v>273</v>
      </c>
      <c r="C264" s="31" t="s">
        <v>269</v>
      </c>
      <c r="D264" s="55">
        <v>15.3</v>
      </c>
      <c r="E264" s="40">
        <f t="shared" si="19"/>
        <v>1.2750000000000001</v>
      </c>
      <c r="F264" s="67">
        <v>4</v>
      </c>
      <c r="G264" s="68">
        <v>10</v>
      </c>
      <c r="H264" s="67">
        <f t="shared" si="20"/>
        <v>40</v>
      </c>
      <c r="I264" s="69">
        <f t="shared" si="21"/>
        <v>51.000000000000007</v>
      </c>
    </row>
    <row r="265" spans="1:9" ht="15.75">
      <c r="A265" s="77"/>
      <c r="B265" s="61" t="s">
        <v>274</v>
      </c>
      <c r="C265" s="31" t="s">
        <v>269</v>
      </c>
      <c r="D265" s="55">
        <v>16.5</v>
      </c>
      <c r="E265" s="40">
        <f t="shared" si="19"/>
        <v>1.375</v>
      </c>
      <c r="F265" s="67">
        <v>4</v>
      </c>
      <c r="G265" s="68">
        <v>10</v>
      </c>
      <c r="H265" s="67">
        <f t="shared" si="20"/>
        <v>40</v>
      </c>
      <c r="I265" s="69">
        <f t="shared" si="21"/>
        <v>55</v>
      </c>
    </row>
    <row r="266" spans="1:9" ht="15.75">
      <c r="A266" s="77"/>
      <c r="B266" s="61" t="s">
        <v>275</v>
      </c>
      <c r="C266" s="31" t="s">
        <v>269</v>
      </c>
      <c r="D266" s="55">
        <v>19.100000000000001</v>
      </c>
      <c r="E266" s="40">
        <f t="shared" si="19"/>
        <v>1.5916666666666668</v>
      </c>
      <c r="F266" s="67">
        <v>4</v>
      </c>
      <c r="G266" s="68">
        <v>6</v>
      </c>
      <c r="H266" s="67">
        <f t="shared" si="20"/>
        <v>24</v>
      </c>
      <c r="I266" s="69">
        <f t="shared" si="21"/>
        <v>38.200000000000003</v>
      </c>
    </row>
    <row r="267" spans="1:9" ht="15.75">
      <c r="A267" s="77"/>
      <c r="B267" s="61" t="s">
        <v>276</v>
      </c>
      <c r="C267" s="31" t="s">
        <v>269</v>
      </c>
      <c r="D267" s="55">
        <v>24.175000000000001</v>
      </c>
      <c r="E267" s="40">
        <f t="shared" ref="E267:E299" si="22">D267/12</f>
        <v>2.0145833333333334</v>
      </c>
      <c r="F267" s="67">
        <v>2</v>
      </c>
      <c r="G267" s="68">
        <v>6</v>
      </c>
      <c r="H267" s="67">
        <f t="shared" si="20"/>
        <v>12</v>
      </c>
      <c r="I267" s="69">
        <f t="shared" si="21"/>
        <v>24.175000000000001</v>
      </c>
    </row>
    <row r="268" spans="1:9" ht="15.75">
      <c r="A268" s="77"/>
      <c r="B268" s="61" t="s">
        <v>277</v>
      </c>
      <c r="C268" s="31" t="s">
        <v>269</v>
      </c>
      <c r="D268" s="55">
        <v>29.324999999999999</v>
      </c>
      <c r="E268" s="40">
        <f t="shared" si="22"/>
        <v>2.4437500000000001</v>
      </c>
      <c r="F268" s="67">
        <v>2</v>
      </c>
      <c r="G268" s="68">
        <v>6</v>
      </c>
      <c r="H268" s="67">
        <f t="shared" si="20"/>
        <v>12</v>
      </c>
      <c r="I268" s="69">
        <f t="shared" si="21"/>
        <v>29.325000000000003</v>
      </c>
    </row>
    <row r="269" spans="1:9" ht="16.5" thickBot="1">
      <c r="A269" s="78"/>
      <c r="B269" s="62" t="s">
        <v>278</v>
      </c>
      <c r="C269" s="32" t="s">
        <v>269</v>
      </c>
      <c r="D269" s="56">
        <v>36.049999999999997</v>
      </c>
      <c r="E269" s="41">
        <f t="shared" si="22"/>
        <v>3.0041666666666664</v>
      </c>
      <c r="F269" s="67">
        <v>2</v>
      </c>
      <c r="G269" s="68">
        <v>6</v>
      </c>
      <c r="H269" s="67">
        <f t="shared" si="20"/>
        <v>12</v>
      </c>
      <c r="I269" s="69">
        <f t="shared" si="21"/>
        <v>36.049999999999997</v>
      </c>
    </row>
    <row r="270" spans="1:9" ht="15.75">
      <c r="A270" s="76" t="s">
        <v>294</v>
      </c>
      <c r="B270" s="60" t="s">
        <v>174</v>
      </c>
      <c r="C270" s="30" t="s">
        <v>267</v>
      </c>
      <c r="D270" s="52">
        <v>1.6</v>
      </c>
      <c r="E270" s="39">
        <f t="shared" si="22"/>
        <v>0.13333333333333333</v>
      </c>
      <c r="F270" s="67">
        <v>10</v>
      </c>
      <c r="G270" s="68">
        <v>18</v>
      </c>
      <c r="H270" s="67">
        <f t="shared" si="20"/>
        <v>180</v>
      </c>
      <c r="I270" s="69">
        <f t="shared" si="21"/>
        <v>24</v>
      </c>
    </row>
    <row r="271" spans="1:9" ht="15.75">
      <c r="A271" s="77"/>
      <c r="B271" s="61" t="s">
        <v>175</v>
      </c>
      <c r="C271" s="31" t="s">
        <v>267</v>
      </c>
      <c r="D271" s="53">
        <v>2.1</v>
      </c>
      <c r="E271" s="40">
        <f t="shared" si="22"/>
        <v>0.17500000000000002</v>
      </c>
      <c r="F271" s="67">
        <v>8</v>
      </c>
      <c r="G271" s="68">
        <v>18</v>
      </c>
      <c r="H271" s="67">
        <f t="shared" si="20"/>
        <v>144</v>
      </c>
      <c r="I271" s="69">
        <f t="shared" si="21"/>
        <v>25.200000000000003</v>
      </c>
    </row>
    <row r="272" spans="1:9" ht="15.75">
      <c r="A272" s="77"/>
      <c r="B272" s="61" t="s">
        <v>270</v>
      </c>
      <c r="C272" s="31" t="s">
        <v>267</v>
      </c>
      <c r="D272" s="53">
        <v>2.2999999999999998</v>
      </c>
      <c r="E272" s="40">
        <f t="shared" si="22"/>
        <v>0.19166666666666665</v>
      </c>
      <c r="F272" s="67">
        <v>8</v>
      </c>
      <c r="G272" s="68">
        <v>16</v>
      </c>
      <c r="H272" s="67">
        <f t="shared" si="20"/>
        <v>128</v>
      </c>
      <c r="I272" s="69">
        <f t="shared" si="21"/>
        <v>24.533333333333331</v>
      </c>
    </row>
    <row r="273" spans="1:9" ht="15.75">
      <c r="A273" s="77"/>
      <c r="B273" s="61" t="s">
        <v>271</v>
      </c>
      <c r="C273" s="31" t="s">
        <v>267</v>
      </c>
      <c r="D273" s="53">
        <v>3</v>
      </c>
      <c r="E273" s="40">
        <f t="shared" si="22"/>
        <v>0.25</v>
      </c>
      <c r="F273" s="67">
        <v>8</v>
      </c>
      <c r="G273" s="68">
        <v>12</v>
      </c>
      <c r="H273" s="67">
        <f t="shared" si="20"/>
        <v>96</v>
      </c>
      <c r="I273" s="69">
        <f t="shared" si="21"/>
        <v>24</v>
      </c>
    </row>
    <row r="274" spans="1:9" ht="15.75">
      <c r="A274" s="77"/>
      <c r="B274" s="61" t="s">
        <v>272</v>
      </c>
      <c r="C274" s="31" t="s">
        <v>267</v>
      </c>
      <c r="D274" s="53">
        <v>3.6</v>
      </c>
      <c r="E274" s="40">
        <f t="shared" si="22"/>
        <v>0.3</v>
      </c>
      <c r="F274" s="67">
        <v>8</v>
      </c>
      <c r="G274" s="68">
        <v>12</v>
      </c>
      <c r="H274" s="67">
        <f t="shared" si="20"/>
        <v>96</v>
      </c>
      <c r="I274" s="69">
        <f t="shared" si="21"/>
        <v>28.799999999999997</v>
      </c>
    </row>
    <row r="275" spans="1:9" ht="15.75">
      <c r="A275" s="77"/>
      <c r="B275" s="61" t="s">
        <v>273</v>
      </c>
      <c r="C275" s="31" t="s">
        <v>267</v>
      </c>
      <c r="D275" s="53">
        <v>4.3499999999999996</v>
      </c>
      <c r="E275" s="40">
        <f t="shared" si="22"/>
        <v>0.36249999999999999</v>
      </c>
      <c r="F275" s="67">
        <v>8</v>
      </c>
      <c r="G275" s="68">
        <v>10</v>
      </c>
      <c r="H275" s="67">
        <f t="shared" si="20"/>
        <v>80</v>
      </c>
      <c r="I275" s="69">
        <f t="shared" si="21"/>
        <v>29</v>
      </c>
    </row>
    <row r="276" spans="1:9" ht="15.75">
      <c r="A276" s="77"/>
      <c r="B276" s="61" t="s">
        <v>274</v>
      </c>
      <c r="C276" s="31" t="s">
        <v>267</v>
      </c>
      <c r="D276" s="53">
        <v>4.55</v>
      </c>
      <c r="E276" s="40">
        <f t="shared" si="22"/>
        <v>0.37916666666666665</v>
      </c>
      <c r="F276" s="67">
        <v>8</v>
      </c>
      <c r="G276" s="68">
        <v>10</v>
      </c>
      <c r="H276" s="67">
        <f t="shared" si="20"/>
        <v>80</v>
      </c>
      <c r="I276" s="69">
        <f t="shared" si="21"/>
        <v>30.333333333333332</v>
      </c>
    </row>
    <row r="277" spans="1:9" ht="15.75">
      <c r="A277" s="77"/>
      <c r="B277" s="61" t="s">
        <v>275</v>
      </c>
      <c r="C277" s="31" t="s">
        <v>267</v>
      </c>
      <c r="D277" s="53">
        <v>5.2</v>
      </c>
      <c r="E277" s="40">
        <f t="shared" si="22"/>
        <v>0.43333333333333335</v>
      </c>
      <c r="F277" s="67">
        <v>8</v>
      </c>
      <c r="G277" s="68">
        <v>6</v>
      </c>
      <c r="H277" s="67">
        <f t="shared" si="20"/>
        <v>48</v>
      </c>
      <c r="I277" s="69">
        <f t="shared" si="21"/>
        <v>20.8</v>
      </c>
    </row>
    <row r="278" spans="1:9" ht="15.75">
      <c r="A278" s="77"/>
      <c r="B278" s="61" t="s">
        <v>276</v>
      </c>
      <c r="C278" s="31" t="s">
        <v>267</v>
      </c>
      <c r="D278" s="53"/>
      <c r="E278" s="40">
        <f t="shared" si="22"/>
        <v>0</v>
      </c>
      <c r="F278" s="67">
        <v>3</v>
      </c>
      <c r="G278" s="68">
        <v>6</v>
      </c>
      <c r="H278" s="67">
        <f t="shared" si="20"/>
        <v>18</v>
      </c>
      <c r="I278" s="69">
        <f t="shared" si="21"/>
        <v>0</v>
      </c>
    </row>
    <row r="279" spans="1:9" ht="15.75">
      <c r="A279" s="77"/>
      <c r="B279" s="61" t="s">
        <v>277</v>
      </c>
      <c r="C279" s="31" t="s">
        <v>267</v>
      </c>
      <c r="D279" s="53"/>
      <c r="E279" s="40">
        <f t="shared" si="22"/>
        <v>0</v>
      </c>
      <c r="F279" s="67">
        <v>3</v>
      </c>
      <c r="G279" s="68">
        <v>6</v>
      </c>
      <c r="H279" s="67">
        <f t="shared" si="20"/>
        <v>18</v>
      </c>
      <c r="I279" s="69">
        <f t="shared" si="21"/>
        <v>0</v>
      </c>
    </row>
    <row r="280" spans="1:9" ht="16.5" thickBot="1">
      <c r="A280" s="78"/>
      <c r="B280" s="62" t="s">
        <v>278</v>
      </c>
      <c r="C280" s="32" t="s">
        <v>267</v>
      </c>
      <c r="D280" s="54"/>
      <c r="E280" s="41">
        <f t="shared" si="22"/>
        <v>0</v>
      </c>
      <c r="F280" s="67">
        <v>3</v>
      </c>
      <c r="G280" s="68">
        <v>6</v>
      </c>
      <c r="H280" s="67">
        <f t="shared" si="20"/>
        <v>18</v>
      </c>
      <c r="I280" s="69">
        <f t="shared" si="21"/>
        <v>0</v>
      </c>
    </row>
    <row r="281" spans="1:9" ht="15.75">
      <c r="A281" s="76" t="s">
        <v>293</v>
      </c>
      <c r="B281" s="60" t="s">
        <v>174</v>
      </c>
      <c r="C281" s="30" t="s">
        <v>268</v>
      </c>
      <c r="D281" s="52"/>
      <c r="E281" s="39">
        <f t="shared" si="22"/>
        <v>0</v>
      </c>
      <c r="F281" s="67"/>
      <c r="G281" s="68"/>
      <c r="H281" s="67">
        <f t="shared" si="20"/>
        <v>0</v>
      </c>
      <c r="I281" s="69">
        <f t="shared" si="21"/>
        <v>0</v>
      </c>
    </row>
    <row r="282" spans="1:9" ht="15.75">
      <c r="A282" s="77"/>
      <c r="B282" s="61" t="s">
        <v>175</v>
      </c>
      <c r="C282" s="31" t="s">
        <v>268</v>
      </c>
      <c r="D282" s="53">
        <v>2.9</v>
      </c>
      <c r="E282" s="40">
        <f t="shared" si="22"/>
        <v>0.24166666666666667</v>
      </c>
      <c r="F282" s="67">
        <v>6</v>
      </c>
      <c r="G282" s="68">
        <v>18</v>
      </c>
      <c r="H282" s="67">
        <f t="shared" si="20"/>
        <v>108</v>
      </c>
      <c r="I282" s="69">
        <f t="shared" si="21"/>
        <v>26.1</v>
      </c>
    </row>
    <row r="283" spans="1:9" ht="15.75">
      <c r="A283" s="77"/>
      <c r="B283" s="61" t="s">
        <v>270</v>
      </c>
      <c r="C283" s="31" t="s">
        <v>268</v>
      </c>
      <c r="D283" s="53">
        <v>4.2</v>
      </c>
      <c r="E283" s="40">
        <f t="shared" si="22"/>
        <v>0.35000000000000003</v>
      </c>
      <c r="F283" s="67">
        <v>6</v>
      </c>
      <c r="G283" s="68">
        <v>16</v>
      </c>
      <c r="H283" s="67">
        <f t="shared" si="20"/>
        <v>96</v>
      </c>
      <c r="I283" s="69">
        <f t="shared" si="21"/>
        <v>33.6</v>
      </c>
    </row>
    <row r="284" spans="1:9" ht="15.75">
      <c r="A284" s="77"/>
      <c r="B284" s="61" t="s">
        <v>271</v>
      </c>
      <c r="C284" s="31" t="s">
        <v>268</v>
      </c>
      <c r="D284" s="53">
        <v>5.55</v>
      </c>
      <c r="E284" s="40">
        <f t="shared" si="22"/>
        <v>0.46249999999999997</v>
      </c>
      <c r="F284" s="67">
        <v>6</v>
      </c>
      <c r="G284" s="68">
        <v>12</v>
      </c>
      <c r="H284" s="67">
        <f t="shared" si="20"/>
        <v>72</v>
      </c>
      <c r="I284" s="69">
        <f t="shared" si="21"/>
        <v>33.299999999999997</v>
      </c>
    </row>
    <row r="285" spans="1:9" ht="15.75">
      <c r="A285" s="77"/>
      <c r="B285" s="61" t="s">
        <v>272</v>
      </c>
      <c r="C285" s="31" t="s">
        <v>268</v>
      </c>
      <c r="D285" s="53">
        <v>6.7</v>
      </c>
      <c r="E285" s="40">
        <f t="shared" si="22"/>
        <v>0.55833333333333335</v>
      </c>
      <c r="F285" s="67">
        <v>6</v>
      </c>
      <c r="G285" s="68">
        <v>12</v>
      </c>
      <c r="H285" s="67">
        <f t="shared" si="20"/>
        <v>72</v>
      </c>
      <c r="I285" s="69">
        <f t="shared" si="21"/>
        <v>40.200000000000003</v>
      </c>
    </row>
    <row r="286" spans="1:9" ht="15.75">
      <c r="A286" s="77"/>
      <c r="B286" s="61" t="s">
        <v>273</v>
      </c>
      <c r="C286" s="31" t="s">
        <v>268</v>
      </c>
      <c r="D286" s="53">
        <v>8.1</v>
      </c>
      <c r="E286" s="40">
        <f t="shared" si="22"/>
        <v>0.67499999999999993</v>
      </c>
      <c r="F286" s="67">
        <v>6</v>
      </c>
      <c r="G286" s="68">
        <v>10</v>
      </c>
      <c r="H286" s="67">
        <f t="shared" si="20"/>
        <v>60</v>
      </c>
      <c r="I286" s="69">
        <f t="shared" si="21"/>
        <v>40.499999999999993</v>
      </c>
    </row>
    <row r="287" spans="1:9" ht="15.75">
      <c r="A287" s="77"/>
      <c r="B287" s="61" t="s">
        <v>274</v>
      </c>
      <c r="C287" s="31" t="s">
        <v>268</v>
      </c>
      <c r="D287" s="53">
        <v>7.8</v>
      </c>
      <c r="E287" s="40">
        <f t="shared" si="22"/>
        <v>0.65</v>
      </c>
      <c r="F287" s="67">
        <v>6</v>
      </c>
      <c r="G287" s="68">
        <v>10</v>
      </c>
      <c r="H287" s="67">
        <f t="shared" si="20"/>
        <v>60</v>
      </c>
      <c r="I287" s="69">
        <f t="shared" si="21"/>
        <v>39</v>
      </c>
    </row>
    <row r="288" spans="1:9" ht="15.75">
      <c r="A288" s="77"/>
      <c r="B288" s="61" t="s">
        <v>275</v>
      </c>
      <c r="C288" s="31" t="s">
        <v>268</v>
      </c>
      <c r="D288" s="53">
        <v>9.1999999999999993</v>
      </c>
      <c r="E288" s="40">
        <f t="shared" si="22"/>
        <v>0.76666666666666661</v>
      </c>
      <c r="F288" s="67">
        <v>6</v>
      </c>
      <c r="G288" s="68">
        <v>6</v>
      </c>
      <c r="H288" s="67">
        <f t="shared" si="20"/>
        <v>36</v>
      </c>
      <c r="I288" s="69">
        <f t="shared" si="21"/>
        <v>27.599999999999998</v>
      </c>
    </row>
    <row r="289" spans="1:9" ht="15.75">
      <c r="A289" s="77"/>
      <c r="B289" s="61" t="s">
        <v>276</v>
      </c>
      <c r="C289" s="31" t="s">
        <v>268</v>
      </c>
      <c r="D289" s="53">
        <v>13.6</v>
      </c>
      <c r="E289" s="40">
        <f t="shared" si="22"/>
        <v>1.1333333333333333</v>
      </c>
      <c r="F289" s="67">
        <v>2</v>
      </c>
      <c r="G289" s="68">
        <v>6</v>
      </c>
      <c r="H289" s="67">
        <f t="shared" si="20"/>
        <v>12</v>
      </c>
      <c r="I289" s="69">
        <f t="shared" si="21"/>
        <v>13.6</v>
      </c>
    </row>
    <row r="290" spans="1:9" ht="15.75">
      <c r="A290" s="77"/>
      <c r="B290" s="61" t="s">
        <v>277</v>
      </c>
      <c r="C290" s="31" t="s">
        <v>268</v>
      </c>
      <c r="D290" s="53">
        <v>16.600000000000001</v>
      </c>
      <c r="E290" s="40">
        <f t="shared" si="22"/>
        <v>1.3833333333333335</v>
      </c>
      <c r="F290" s="67">
        <v>2</v>
      </c>
      <c r="G290" s="68">
        <v>6</v>
      </c>
      <c r="H290" s="67">
        <f t="shared" si="20"/>
        <v>12</v>
      </c>
      <c r="I290" s="69">
        <f t="shared" si="21"/>
        <v>16.600000000000001</v>
      </c>
    </row>
    <row r="291" spans="1:9" ht="16.5" thickBot="1">
      <c r="A291" s="78"/>
      <c r="B291" s="62" t="s">
        <v>278</v>
      </c>
      <c r="C291" s="32" t="s">
        <v>268</v>
      </c>
      <c r="D291" s="54">
        <v>19.899999999999999</v>
      </c>
      <c r="E291" s="41">
        <f t="shared" si="22"/>
        <v>1.6583333333333332</v>
      </c>
      <c r="F291" s="67">
        <v>2</v>
      </c>
      <c r="G291" s="68">
        <v>6</v>
      </c>
      <c r="H291" s="67">
        <f t="shared" si="20"/>
        <v>12</v>
      </c>
      <c r="I291" s="69">
        <f t="shared" si="21"/>
        <v>19.899999999999999</v>
      </c>
    </row>
    <row r="292" spans="1:9" ht="15.75">
      <c r="A292" s="76" t="s">
        <v>292</v>
      </c>
      <c r="B292" s="60" t="s">
        <v>174</v>
      </c>
      <c r="C292" s="30" t="s">
        <v>269</v>
      </c>
      <c r="D292" s="66"/>
      <c r="E292" s="39">
        <f t="shared" si="22"/>
        <v>0</v>
      </c>
      <c r="F292" s="67"/>
      <c r="G292" s="68"/>
      <c r="H292" s="67">
        <f t="shared" si="20"/>
        <v>0</v>
      </c>
      <c r="I292" s="69">
        <f t="shared" si="21"/>
        <v>0</v>
      </c>
    </row>
    <row r="293" spans="1:9" ht="15.75">
      <c r="A293" s="77"/>
      <c r="B293" s="61" t="s">
        <v>175</v>
      </c>
      <c r="C293" s="31" t="s">
        <v>269</v>
      </c>
      <c r="D293" s="55"/>
      <c r="E293" s="40">
        <f t="shared" si="22"/>
        <v>0</v>
      </c>
      <c r="F293" s="67"/>
      <c r="G293" s="68"/>
      <c r="H293" s="67">
        <f t="shared" si="20"/>
        <v>0</v>
      </c>
      <c r="I293" s="69">
        <f t="shared" si="21"/>
        <v>0</v>
      </c>
    </row>
    <row r="294" spans="1:9" ht="15.75">
      <c r="A294" s="77"/>
      <c r="B294" s="61" t="s">
        <v>270</v>
      </c>
      <c r="C294" s="31" t="s">
        <v>269</v>
      </c>
      <c r="D294" s="55">
        <v>8.5</v>
      </c>
      <c r="E294" s="40">
        <f t="shared" si="22"/>
        <v>0.70833333333333337</v>
      </c>
      <c r="F294" s="67">
        <v>4</v>
      </c>
      <c r="G294" s="68">
        <v>16</v>
      </c>
      <c r="H294" s="67">
        <f t="shared" si="20"/>
        <v>64</v>
      </c>
      <c r="I294" s="69">
        <f t="shared" si="21"/>
        <v>45.333333333333336</v>
      </c>
    </row>
    <row r="295" spans="1:9" ht="15.75">
      <c r="A295" s="77"/>
      <c r="B295" s="61" t="s">
        <v>271</v>
      </c>
      <c r="C295" s="31" t="s">
        <v>269</v>
      </c>
      <c r="D295" s="55">
        <v>10.7</v>
      </c>
      <c r="E295" s="40">
        <f t="shared" si="22"/>
        <v>0.89166666666666661</v>
      </c>
      <c r="F295" s="67">
        <v>4</v>
      </c>
      <c r="G295" s="68">
        <v>12</v>
      </c>
      <c r="H295" s="67">
        <f t="shared" si="20"/>
        <v>48</v>
      </c>
      <c r="I295" s="69">
        <f t="shared" si="21"/>
        <v>42.8</v>
      </c>
    </row>
    <row r="296" spans="1:9" ht="15.75">
      <c r="A296" s="77"/>
      <c r="B296" s="61" t="s">
        <v>272</v>
      </c>
      <c r="C296" s="31" t="s">
        <v>269</v>
      </c>
      <c r="D296" s="55">
        <v>13.15</v>
      </c>
      <c r="E296" s="40">
        <f t="shared" si="22"/>
        <v>1.0958333333333334</v>
      </c>
      <c r="F296" s="67">
        <v>4</v>
      </c>
      <c r="G296" s="68">
        <v>12</v>
      </c>
      <c r="H296" s="67">
        <f t="shared" si="20"/>
        <v>48</v>
      </c>
      <c r="I296" s="69">
        <f t="shared" si="21"/>
        <v>52.600000000000009</v>
      </c>
    </row>
    <row r="297" spans="1:9" ht="15.75">
      <c r="A297" s="77"/>
      <c r="B297" s="61" t="s">
        <v>273</v>
      </c>
      <c r="C297" s="31" t="s">
        <v>269</v>
      </c>
      <c r="D297" s="55">
        <v>15.4</v>
      </c>
      <c r="E297" s="40">
        <f t="shared" si="22"/>
        <v>1.2833333333333334</v>
      </c>
      <c r="F297" s="67">
        <v>4</v>
      </c>
      <c r="G297" s="68">
        <v>10</v>
      </c>
      <c r="H297" s="67">
        <f t="shared" si="20"/>
        <v>40</v>
      </c>
      <c r="I297" s="69">
        <f t="shared" si="21"/>
        <v>51.333333333333336</v>
      </c>
    </row>
    <row r="298" spans="1:9" ht="15.75">
      <c r="A298" s="77"/>
      <c r="B298" s="61" t="s">
        <v>274</v>
      </c>
      <c r="C298" s="31" t="s">
        <v>269</v>
      </c>
      <c r="D298" s="55">
        <v>16.600000000000001</v>
      </c>
      <c r="E298" s="40">
        <f t="shared" si="22"/>
        <v>1.3833333333333335</v>
      </c>
      <c r="F298" s="67">
        <v>4</v>
      </c>
      <c r="G298" s="68">
        <v>10</v>
      </c>
      <c r="H298" s="67">
        <f t="shared" si="20"/>
        <v>40</v>
      </c>
      <c r="I298" s="69">
        <f t="shared" si="21"/>
        <v>55.333333333333343</v>
      </c>
    </row>
    <row r="299" spans="1:9" ht="15.75">
      <c r="A299" s="77"/>
      <c r="B299" s="61" t="s">
        <v>275</v>
      </c>
      <c r="C299" s="31" t="s">
        <v>269</v>
      </c>
      <c r="D299" s="55">
        <v>19.2</v>
      </c>
      <c r="E299" s="40">
        <f t="shared" si="22"/>
        <v>1.5999999999999999</v>
      </c>
      <c r="F299" s="67">
        <v>4</v>
      </c>
      <c r="G299" s="68">
        <v>6</v>
      </c>
      <c r="H299" s="67">
        <f t="shared" si="20"/>
        <v>24</v>
      </c>
      <c r="I299" s="69">
        <f t="shared" si="21"/>
        <v>38.4</v>
      </c>
    </row>
    <row r="300" spans="1:9" ht="15.75">
      <c r="A300" s="77"/>
      <c r="B300" s="61" t="s">
        <v>276</v>
      </c>
      <c r="C300" s="31" t="s">
        <v>269</v>
      </c>
      <c r="D300" s="55">
        <v>24.2</v>
      </c>
      <c r="E300" s="40">
        <f t="shared" ref="E300:E302" si="23">D300/12</f>
        <v>2.0166666666666666</v>
      </c>
      <c r="F300" s="67">
        <v>2</v>
      </c>
      <c r="G300" s="68">
        <v>6</v>
      </c>
      <c r="H300" s="67">
        <f t="shared" si="20"/>
        <v>12</v>
      </c>
      <c r="I300" s="69">
        <f t="shared" si="21"/>
        <v>24.2</v>
      </c>
    </row>
    <row r="301" spans="1:9" ht="15.75">
      <c r="A301" s="77"/>
      <c r="B301" s="61" t="s">
        <v>277</v>
      </c>
      <c r="C301" s="31" t="s">
        <v>269</v>
      </c>
      <c r="D301" s="55">
        <v>29.4</v>
      </c>
      <c r="E301" s="40">
        <f t="shared" si="23"/>
        <v>2.4499999999999997</v>
      </c>
      <c r="F301" s="67">
        <v>2</v>
      </c>
      <c r="G301" s="68">
        <v>6</v>
      </c>
      <c r="H301" s="67">
        <f t="shared" ref="H301:H302" si="24">G301*F301</f>
        <v>12</v>
      </c>
      <c r="I301" s="69">
        <f t="shared" ref="I301:I302" si="25">H301*E301</f>
        <v>29.4</v>
      </c>
    </row>
    <row r="302" spans="1:9" ht="16.5" thickBot="1">
      <c r="A302" s="78"/>
      <c r="B302" s="62" t="s">
        <v>278</v>
      </c>
      <c r="C302" s="32" t="s">
        <v>269</v>
      </c>
      <c r="D302" s="56">
        <v>36.15</v>
      </c>
      <c r="E302" s="41">
        <f t="shared" si="23"/>
        <v>3.0124999999999997</v>
      </c>
      <c r="F302" s="67">
        <v>2</v>
      </c>
      <c r="G302" s="68">
        <v>6</v>
      </c>
      <c r="H302" s="67">
        <f t="shared" si="24"/>
        <v>12</v>
      </c>
      <c r="I302" s="69">
        <f t="shared" si="25"/>
        <v>36.15</v>
      </c>
    </row>
  </sheetData>
  <mergeCells count="33">
    <mergeCell ref="A270:A280"/>
    <mergeCell ref="A281:A291"/>
    <mergeCell ref="A292:A302"/>
    <mergeCell ref="A237:A247"/>
    <mergeCell ref="A248:A258"/>
    <mergeCell ref="A259:A269"/>
    <mergeCell ref="A196:A203"/>
    <mergeCell ref="A204:A214"/>
    <mergeCell ref="A215:A225"/>
    <mergeCell ref="A226:A236"/>
    <mergeCell ref="A188:A195"/>
    <mergeCell ref="A70:A82"/>
    <mergeCell ref="A83:A95"/>
    <mergeCell ref="A174:A187"/>
    <mergeCell ref="A136:A154"/>
    <mergeCell ref="A96:A115"/>
    <mergeCell ref="A116:A135"/>
    <mergeCell ref="A155:A173"/>
    <mergeCell ref="A27:A30"/>
    <mergeCell ref="A64:A69"/>
    <mergeCell ref="A52:A57"/>
    <mergeCell ref="A58:A63"/>
    <mergeCell ref="A2:A3"/>
    <mergeCell ref="A4:A6"/>
    <mergeCell ref="A7:A10"/>
    <mergeCell ref="A11:A14"/>
    <mergeCell ref="A45:A51"/>
    <mergeCell ref="A31:A37"/>
    <mergeCell ref="A38:A44"/>
    <mergeCell ref="A24:A26"/>
    <mergeCell ref="A15:A17"/>
    <mergeCell ref="A21:A23"/>
    <mergeCell ref="A18:A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2026-05-31T08:45:41Z</cp:lastPrinted>
  <dcterms:created xsi:type="dcterms:W3CDTF">2024-07-11T09:46:07Z</dcterms:created>
  <dcterms:modified xsi:type="dcterms:W3CDTF">2026-06-14T08:49:19Z</dcterms:modified>
</cp:coreProperties>
</file>