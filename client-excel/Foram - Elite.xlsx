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All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0" i="1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2"/>
  <c r="I79" l="1"/>
  <c r="I75"/>
  <c r="I87"/>
  <c r="I83"/>
  <c r="I71"/>
  <c r="I84"/>
  <c r="I80"/>
  <c r="I76"/>
  <c r="I72"/>
  <c r="I110"/>
  <c r="I117"/>
  <c r="I125"/>
  <c r="I81"/>
  <c r="I69"/>
  <c r="I126"/>
  <c r="I122"/>
  <c r="I114"/>
  <c r="I111"/>
  <c r="I86"/>
  <c r="I82"/>
  <c r="I78"/>
  <c r="I74"/>
  <c r="I70"/>
  <c r="I131"/>
  <c r="I127"/>
  <c r="I123"/>
  <c r="I119"/>
  <c r="I115"/>
  <c r="I112"/>
  <c r="I113"/>
  <c r="I121"/>
  <c r="I129"/>
  <c r="I85"/>
  <c r="I77"/>
  <c r="I73"/>
  <c r="I130"/>
  <c r="I118"/>
  <c r="I128"/>
  <c r="I124"/>
  <c r="I120"/>
  <c r="I116"/>
  <c r="E3"/>
  <c r="I3" s="1"/>
  <c r="E4"/>
  <c r="I4" s="1"/>
  <c r="E5"/>
  <c r="I5" s="1"/>
  <c r="E6"/>
  <c r="I6" s="1"/>
  <c r="E7"/>
  <c r="I7" s="1"/>
  <c r="E8"/>
  <c r="I8" s="1"/>
  <c r="E9"/>
  <c r="I9" s="1"/>
  <c r="E10"/>
  <c r="I10" s="1"/>
  <c r="E11"/>
  <c r="I11" s="1"/>
  <c r="E12"/>
  <c r="I12" s="1"/>
  <c r="E13"/>
  <c r="I13" s="1"/>
  <c r="E14"/>
  <c r="I14" s="1"/>
  <c r="E15"/>
  <c r="I15" s="1"/>
  <c r="E16"/>
  <c r="I16" s="1"/>
  <c r="E17"/>
  <c r="I17" s="1"/>
  <c r="E18"/>
  <c r="I18" s="1"/>
  <c r="E19"/>
  <c r="I19" s="1"/>
  <c r="E20"/>
  <c r="I20" s="1"/>
  <c r="E21"/>
  <c r="I21" s="1"/>
  <c r="E22"/>
  <c r="I22" s="1"/>
  <c r="E23"/>
  <c r="I23" s="1"/>
  <c r="E24"/>
  <c r="I24" s="1"/>
  <c r="E25"/>
  <c r="I25" s="1"/>
  <c r="E26"/>
  <c r="I26" s="1"/>
  <c r="E27"/>
  <c r="I27" s="1"/>
  <c r="E28"/>
  <c r="I28" s="1"/>
  <c r="E29"/>
  <c r="I29" s="1"/>
  <c r="E30"/>
  <c r="I30" s="1"/>
  <c r="E31"/>
  <c r="I31" s="1"/>
  <c r="E32"/>
  <c r="I32" s="1"/>
  <c r="E33"/>
  <c r="I33" s="1"/>
  <c r="E34"/>
  <c r="I34" s="1"/>
  <c r="E35"/>
  <c r="I35" s="1"/>
  <c r="E36"/>
  <c r="I36" s="1"/>
  <c r="E37"/>
  <c r="I37" s="1"/>
  <c r="E38"/>
  <c r="I38" s="1"/>
  <c r="E39"/>
  <c r="I39" s="1"/>
  <c r="E40"/>
  <c r="I40" s="1"/>
  <c r="E41"/>
  <c r="I41" s="1"/>
  <c r="E42"/>
  <c r="I42" s="1"/>
  <c r="E43"/>
  <c r="I43" s="1"/>
  <c r="E44"/>
  <c r="I44" s="1"/>
  <c r="E45"/>
  <c r="I45" s="1"/>
  <c r="E46"/>
  <c r="I46" s="1"/>
  <c r="E47"/>
  <c r="I47" s="1"/>
  <c r="E48"/>
  <c r="I48" s="1"/>
  <c r="E49"/>
  <c r="I49" s="1"/>
  <c r="E50"/>
  <c r="I50" s="1"/>
  <c r="E51"/>
  <c r="I51" s="1"/>
  <c r="E52"/>
  <c r="I52" s="1"/>
  <c r="E53"/>
  <c r="I53" s="1"/>
  <c r="E54"/>
  <c r="I54" s="1"/>
  <c r="E55"/>
  <c r="I55" s="1"/>
  <c r="E56"/>
  <c r="I56" s="1"/>
  <c r="E57"/>
  <c r="I57" s="1"/>
  <c r="E58"/>
  <c r="I58" s="1"/>
  <c r="E59"/>
  <c r="I59" s="1"/>
  <c r="E60"/>
  <c r="I60" s="1"/>
  <c r="E61"/>
  <c r="I61" s="1"/>
  <c r="E62"/>
  <c r="I62" s="1"/>
  <c r="E63"/>
  <c r="I63" s="1"/>
  <c r="E64"/>
  <c r="I64" s="1"/>
  <c r="E65"/>
  <c r="I65" s="1"/>
  <c r="E66"/>
  <c r="I66" s="1"/>
  <c r="E67"/>
  <c r="I67" s="1"/>
  <c r="E68"/>
  <c r="I68" s="1"/>
  <c r="E88"/>
  <c r="I88" s="1"/>
  <c r="E89"/>
  <c r="I89" s="1"/>
  <c r="E90"/>
  <c r="I90" s="1"/>
  <c r="E91"/>
  <c r="I91" s="1"/>
  <c r="E92"/>
  <c r="I92" s="1"/>
  <c r="E93"/>
  <c r="I93" s="1"/>
  <c r="E94"/>
  <c r="I94" s="1"/>
  <c r="E95"/>
  <c r="I95" s="1"/>
  <c r="E96"/>
  <c r="I96" s="1"/>
  <c r="E97"/>
  <c r="I97" s="1"/>
  <c r="E98"/>
  <c r="I98" s="1"/>
  <c r="E99"/>
  <c r="I99" s="1"/>
  <c r="E100"/>
  <c r="I100" s="1"/>
  <c r="E101"/>
  <c r="I101" s="1"/>
  <c r="E102"/>
  <c r="I102" s="1"/>
  <c r="E103"/>
  <c r="I103" s="1"/>
  <c r="E104"/>
  <c r="I104" s="1"/>
  <c r="E105"/>
  <c r="I105" s="1"/>
  <c r="E106"/>
  <c r="I106" s="1"/>
  <c r="E107"/>
  <c r="I107" s="1"/>
  <c r="E108"/>
  <c r="I108" s="1"/>
  <c r="E109"/>
  <c r="I109" s="1"/>
  <c r="E132"/>
  <c r="I132" s="1"/>
  <c r="E133"/>
  <c r="I133" s="1"/>
  <c r="E134"/>
  <c r="I134" s="1"/>
  <c r="E135"/>
  <c r="I135" s="1"/>
  <c r="E136"/>
  <c r="I136" s="1"/>
  <c r="E137"/>
  <c r="I137" s="1"/>
  <c r="E138"/>
  <c r="I138" s="1"/>
  <c r="E139"/>
  <c r="I139" s="1"/>
  <c r="E140"/>
  <c r="I140" s="1"/>
  <c r="E141"/>
  <c r="I141" s="1"/>
  <c r="E142"/>
  <c r="I142" s="1"/>
  <c r="E143"/>
  <c r="I143" s="1"/>
  <c r="E144"/>
  <c r="I144" s="1"/>
  <c r="E145"/>
  <c r="I145" s="1"/>
  <c r="E146"/>
  <c r="I146" s="1"/>
  <c r="E147"/>
  <c r="I147" s="1"/>
  <c r="E148"/>
  <c r="I148" s="1"/>
  <c r="E149"/>
  <c r="I149" s="1"/>
  <c r="E150"/>
  <c r="I150" s="1"/>
  <c r="E151"/>
  <c r="I151" s="1"/>
  <c r="E152"/>
  <c r="I152" s="1"/>
  <c r="E153"/>
  <c r="I153" s="1"/>
  <c r="E154"/>
  <c r="I154" s="1"/>
  <c r="E155"/>
  <c r="I155" s="1"/>
  <c r="E156"/>
  <c r="I156" s="1"/>
  <c r="E157"/>
  <c r="I157" s="1"/>
  <c r="E158"/>
  <c r="I158" s="1"/>
  <c r="E159"/>
  <c r="I159" s="1"/>
  <c r="E160"/>
  <c r="I160" s="1"/>
  <c r="E161"/>
  <c r="I161" s="1"/>
  <c r="E162"/>
  <c r="I162" s="1"/>
  <c r="E163"/>
  <c r="I163" s="1"/>
  <c r="E2"/>
  <c r="I2" s="1"/>
</calcChain>
</file>

<file path=xl/sharedStrings.xml><?xml version="1.0" encoding="utf-8"?>
<sst xmlns="http://schemas.openxmlformats.org/spreadsheetml/2006/main" count="366" uniqueCount="265">
  <si>
    <t>Doz.</t>
  </si>
  <si>
    <t>Size In INCH</t>
  </si>
  <si>
    <t>Size In MM</t>
  </si>
  <si>
    <t>Doz. Weight</t>
  </si>
  <si>
    <t>3 x 7/8 x 1/8</t>
  </si>
  <si>
    <t>75*22*3</t>
  </si>
  <si>
    <t>4 x 7/8 x 1/8</t>
  </si>
  <si>
    <t>100*22*3</t>
  </si>
  <si>
    <t>5 x 7/8 x 1/8</t>
  </si>
  <si>
    <t>125*22*3</t>
  </si>
  <si>
    <t>4 x 1 x 5/32</t>
  </si>
  <si>
    <t>100*25*4</t>
  </si>
  <si>
    <t>5 x 1 x 5/32</t>
  </si>
  <si>
    <t>125*25*4</t>
  </si>
  <si>
    <t>6 x 1 x 5/32</t>
  </si>
  <si>
    <t>150*25*4</t>
  </si>
  <si>
    <t>4 x 1.1/8 x 5/32</t>
  </si>
  <si>
    <t>100*28*4</t>
  </si>
  <si>
    <t>5 x 1.1/8 x 5/32</t>
  </si>
  <si>
    <t>125*28*4</t>
  </si>
  <si>
    <t>6 x 1.1/8 x 5/32</t>
  </si>
  <si>
    <t>150*28*4</t>
  </si>
  <si>
    <t>4 x 1.1/4 x 5/32</t>
  </si>
  <si>
    <t>100*31*4</t>
  </si>
  <si>
    <t>5 x 1.1/4 x 5/32</t>
  </si>
  <si>
    <t>125*31*4</t>
  </si>
  <si>
    <t>6 x 1.1/4 x 5/32</t>
  </si>
  <si>
    <t>150*31*4</t>
  </si>
  <si>
    <t>8 x 1.1/4 x 5/32</t>
  </si>
  <si>
    <t>200*31*4</t>
  </si>
  <si>
    <t>4 x 1.1/2 x 5/32</t>
  </si>
  <si>
    <t>100*38*4</t>
  </si>
  <si>
    <t>5 x 1.1/2 x 5/32</t>
  </si>
  <si>
    <t>125*38*4</t>
  </si>
  <si>
    <t>6 x 1.1/2 x 5/32</t>
  </si>
  <si>
    <t>150*38*4</t>
  </si>
  <si>
    <t>4 x 1.1/8 x 3/16</t>
  </si>
  <si>
    <t>100*28*4.5</t>
  </si>
  <si>
    <t>5 x 1.1/8 x 3/16</t>
  </si>
  <si>
    <t>125*28*4.5</t>
  </si>
  <si>
    <t>6 x 1.1/8 x 3/16</t>
  </si>
  <si>
    <t>150*28*4.5</t>
  </si>
  <si>
    <t>4 x 1.1/4 x 3/16</t>
  </si>
  <si>
    <t>100*31*4.5</t>
  </si>
  <si>
    <t>5 x 1.1/4 x 3/16</t>
  </si>
  <si>
    <t>125*31*4.5</t>
  </si>
  <si>
    <t>6 x 1.1/4 x 3/16</t>
  </si>
  <si>
    <t>150*31*4.5</t>
  </si>
  <si>
    <t>8 x 1.1/4 x 3/16</t>
  </si>
  <si>
    <t>200*31*4.5</t>
  </si>
  <si>
    <t>4 x 1.1/2 x 3/16</t>
  </si>
  <si>
    <t>100*38*4.5</t>
  </si>
  <si>
    <t>5 x 1.1/2 x 3/16</t>
  </si>
  <si>
    <t>125*38*4.5</t>
  </si>
  <si>
    <t>6 x 1.1/2 x 3/16</t>
  </si>
  <si>
    <t>150*38*4.5</t>
  </si>
  <si>
    <t>8 x 1.1/2 x 3/16</t>
  </si>
  <si>
    <t>200*38*4.5</t>
  </si>
  <si>
    <t>4 x 3/8 x 6</t>
  </si>
  <si>
    <t>100*9*6</t>
  </si>
  <si>
    <t>4 x 3/8 x 12</t>
  </si>
  <si>
    <t>100*9*12</t>
  </si>
  <si>
    <t>4 x 3/8 x 19</t>
  </si>
  <si>
    <t>100*9*19</t>
  </si>
  <si>
    <t>100*9*25</t>
  </si>
  <si>
    <t>4 x 1/2 x 6</t>
  </si>
  <si>
    <t>100*12*6</t>
  </si>
  <si>
    <t>4 x 1/2 x 12</t>
  </si>
  <si>
    <t>100*12*12</t>
  </si>
  <si>
    <t>4 x 1/2 x 19</t>
  </si>
  <si>
    <t>100*12*19</t>
  </si>
  <si>
    <t>4 x 1/2 x 25</t>
  </si>
  <si>
    <t>100*12*25</t>
  </si>
  <si>
    <t>4 x 5/8 x 6</t>
  </si>
  <si>
    <t>100*16*6</t>
  </si>
  <si>
    <t>4 x 5/8 x 12</t>
  </si>
  <si>
    <t>100*16*12</t>
  </si>
  <si>
    <t>4 x 5/8 x 19</t>
  </si>
  <si>
    <t>100*16*19</t>
  </si>
  <si>
    <t>4 x 3/4 x 6</t>
  </si>
  <si>
    <t>100*19*6</t>
  </si>
  <si>
    <t>4 x 3/4 x 12</t>
  </si>
  <si>
    <t>100*19*12</t>
  </si>
  <si>
    <t>4 x 3/4 x 19</t>
  </si>
  <si>
    <t>100*19*19</t>
  </si>
  <si>
    <t>4 x 3/4 x 25</t>
  </si>
  <si>
    <t>100*19*25</t>
  </si>
  <si>
    <t>4 x 1 x 6</t>
  </si>
  <si>
    <t>100*25*6</t>
  </si>
  <si>
    <t>4 x 1 x 12</t>
  </si>
  <si>
    <t>100*25*12</t>
  </si>
  <si>
    <t>4 x 1 x 19</t>
  </si>
  <si>
    <t>100*25*19</t>
  </si>
  <si>
    <t>4 x 1 x 25</t>
  </si>
  <si>
    <t>100*25*25</t>
  </si>
  <si>
    <t>4 x 1.1/8 x 6</t>
  </si>
  <si>
    <t>100*28*6</t>
  </si>
  <si>
    <t>4 x 1.1/8 x 12</t>
  </si>
  <si>
    <t>100*28*12</t>
  </si>
  <si>
    <t>4 x 1.1/8 x 19</t>
  </si>
  <si>
    <t>100*28*19</t>
  </si>
  <si>
    <t>4 x 1.1/8 x 25</t>
  </si>
  <si>
    <t>100*28*25</t>
  </si>
  <si>
    <t>3 x 3/8 x 6</t>
  </si>
  <si>
    <t>75*9*6</t>
  </si>
  <si>
    <t>3 x 3/8 x 12</t>
  </si>
  <si>
    <t>75*9*12</t>
  </si>
  <si>
    <t>3 x 3/8 x 19</t>
  </si>
  <si>
    <t>75*9*19</t>
  </si>
  <si>
    <t>3 x 3/8 x 25</t>
  </si>
  <si>
    <t>75*9*25</t>
  </si>
  <si>
    <t>3 x 1/2 x 6</t>
  </si>
  <si>
    <t>75*12*6</t>
  </si>
  <si>
    <t>3 x 1/2 x 12</t>
  </si>
  <si>
    <t>75*12*12</t>
  </si>
  <si>
    <t>3 x 1/2 x 19</t>
  </si>
  <si>
    <t>75*12*19</t>
  </si>
  <si>
    <t>3 x 1/2 x 25</t>
  </si>
  <si>
    <t>75*12*25</t>
  </si>
  <si>
    <t>3 x 5/8 x 6</t>
  </si>
  <si>
    <t>75*16*6</t>
  </si>
  <si>
    <t>3 x 5/8 x 12</t>
  </si>
  <si>
    <t>75*16*12</t>
  </si>
  <si>
    <t>3 x 5/8 x 19</t>
  </si>
  <si>
    <t>75*16*19</t>
  </si>
  <si>
    <t>3 x 3/4 x 6</t>
  </si>
  <si>
    <t>75*19*6</t>
  </si>
  <si>
    <t>3 x 3/4 x 12</t>
  </si>
  <si>
    <t>75*19*12</t>
  </si>
  <si>
    <t>3 x 3/4 x 19</t>
  </si>
  <si>
    <t>75*19*19</t>
  </si>
  <si>
    <t>3 x 3/4 x 25</t>
  </si>
  <si>
    <t>75*19*25</t>
  </si>
  <si>
    <t>3 x 1 x 6</t>
  </si>
  <si>
    <t>75*25*6</t>
  </si>
  <si>
    <t>3 x 1 x 12</t>
  </si>
  <si>
    <t>75*25*12</t>
  </si>
  <si>
    <t>3 x 1 x 19</t>
  </si>
  <si>
    <t>75*25*19</t>
  </si>
  <si>
    <t>3 x 1 x 25</t>
  </si>
  <si>
    <t>75*25*25</t>
  </si>
  <si>
    <t>4 x 1/2</t>
  </si>
  <si>
    <t>100*12</t>
  </si>
  <si>
    <t>4 x 3/4</t>
  </si>
  <si>
    <t>100*19</t>
  </si>
  <si>
    <t>4 x 1</t>
  </si>
  <si>
    <t>100*25</t>
  </si>
  <si>
    <t>3 x 1/2</t>
  </si>
  <si>
    <t>75*12</t>
  </si>
  <si>
    <t>3 x 3/4</t>
  </si>
  <si>
    <t>75*19</t>
  </si>
  <si>
    <t>3 x 1</t>
  </si>
  <si>
    <t>75*25</t>
  </si>
  <si>
    <t>3 x 1/2 x 1/2</t>
  </si>
  <si>
    <t>4 x 1/2 x 1/2</t>
  </si>
  <si>
    <t>3 x 3/8 x 5/8</t>
  </si>
  <si>
    <t>75*9*16</t>
  </si>
  <si>
    <t>4 x 3/8 x 5/8</t>
  </si>
  <si>
    <t>100*9*16</t>
  </si>
  <si>
    <t>3 x 5/8 x 5/8</t>
  </si>
  <si>
    <t>75*16*16</t>
  </si>
  <si>
    <t>4 x 5/8 x 5/8</t>
  </si>
  <si>
    <t>100*16*16</t>
  </si>
  <si>
    <t>3 x 1/2 x 3/4</t>
  </si>
  <si>
    <t>4 x 1/2 x 3/4</t>
  </si>
  <si>
    <t>3 x 3/8 x 1</t>
  </si>
  <si>
    <t>4 x 3/8 x 1</t>
  </si>
  <si>
    <t>3 x 3/4 x 3/4</t>
  </si>
  <si>
    <t>4 x 3/4 x 3/4</t>
  </si>
  <si>
    <t>3 x 1/2 x 1</t>
  </si>
  <si>
    <t>4 x 1/2 x 1</t>
  </si>
  <si>
    <t>3 x 7/8 x 7/8</t>
  </si>
  <si>
    <t>75*22*22</t>
  </si>
  <si>
    <t>4 x 7/8 x 7/8</t>
  </si>
  <si>
    <t>100*22*22</t>
  </si>
  <si>
    <t>3 x 3/4 x 1</t>
  </si>
  <si>
    <t>4 x 3/4 x 1</t>
  </si>
  <si>
    <t>3 x 1 x 1</t>
  </si>
  <si>
    <t>4 x 1 x 1</t>
  </si>
  <si>
    <t>3 x 1/2 x 1.1/2</t>
  </si>
  <si>
    <t>75*12*38</t>
  </si>
  <si>
    <t>4 x 1/2 x 1.1/2</t>
  </si>
  <si>
    <t>100*12*38</t>
  </si>
  <si>
    <t>3 x 3/4 x 1.1/2</t>
  </si>
  <si>
    <t>75*19*38</t>
  </si>
  <si>
    <t>4 x 3/4 x 1.1/2</t>
  </si>
  <si>
    <t>100*19*38</t>
  </si>
  <si>
    <t>3 x 3/8 x 1.1/2</t>
  </si>
  <si>
    <t>75*9*38</t>
  </si>
  <si>
    <t>4 x 3/8 x 1.1/2</t>
  </si>
  <si>
    <t>100*9*38</t>
  </si>
  <si>
    <t>3 x 3/4 x 3/32</t>
  </si>
  <si>
    <t>75*19*3</t>
  </si>
  <si>
    <t>10 x 1.1/4 x 3/16</t>
  </si>
  <si>
    <t>12 x 1.1/4 x 3/16</t>
  </si>
  <si>
    <t>18 x 1.1/4 x 3/16</t>
  </si>
  <si>
    <t>250*31*4.5</t>
  </si>
  <si>
    <t>300*31*4.5</t>
  </si>
  <si>
    <t>450*31*4.5</t>
  </si>
  <si>
    <t>10 x 1.1/2 x 3/16</t>
  </si>
  <si>
    <t>12 x 1.1/2 x 3/16</t>
  </si>
  <si>
    <t>18 x 1.1/2 x 3/16</t>
  </si>
  <si>
    <t>250*38*4.5</t>
  </si>
  <si>
    <t>300*38*4.5</t>
  </si>
  <si>
    <t>450*38*4.5</t>
  </si>
  <si>
    <t>4 x 2 x 3/16</t>
  </si>
  <si>
    <t>5 x 2 x 3/16</t>
  </si>
  <si>
    <t>6 x 2 x 3/16</t>
  </si>
  <si>
    <t>8 x 2 x 3/16</t>
  </si>
  <si>
    <t>10 x 2 x 3/16</t>
  </si>
  <si>
    <t>12 x 2 x 3/16</t>
  </si>
  <si>
    <t>18 x 2 x 3/16</t>
  </si>
  <si>
    <t>100*50*4.5</t>
  </si>
  <si>
    <t>125*50*4.5</t>
  </si>
  <si>
    <t>150*50*4.5</t>
  </si>
  <si>
    <t>200*50*4.5</t>
  </si>
  <si>
    <t>250*50*4.5</t>
  </si>
  <si>
    <t>300*50*4.5</t>
  </si>
  <si>
    <t>450*50*4.5</t>
  </si>
  <si>
    <t>Butt - 3"</t>
  </si>
  <si>
    <t>Butt - 4"</t>
  </si>
  <si>
    <t>PCS Weight</t>
  </si>
  <si>
    <t>Z-4 (2.5mm)</t>
  </si>
  <si>
    <t>Z-3 (2.5mm)</t>
  </si>
  <si>
    <t>L - 4" (2.5mm)</t>
  </si>
  <si>
    <t>L - 3" (2.5mm)</t>
  </si>
  <si>
    <t xml:space="preserve">Box / Pcs </t>
  </si>
  <si>
    <t>Box / Cartoon</t>
  </si>
  <si>
    <t>Total Pcs / Cartoon</t>
  </si>
  <si>
    <t>Total Cartoon Weight</t>
  </si>
  <si>
    <t>S.S.</t>
  </si>
  <si>
    <t>Antq.</t>
  </si>
  <si>
    <t>Side Gold</t>
  </si>
  <si>
    <t>Sartin Lacqur</t>
  </si>
  <si>
    <t>Z Black</t>
  </si>
  <si>
    <t>Gr. Black</t>
  </si>
  <si>
    <t>Matt S.S.</t>
  </si>
  <si>
    <t>Matt Antq.</t>
  </si>
  <si>
    <t>PVD Rose Gold</t>
  </si>
  <si>
    <t>PVD Gold</t>
  </si>
  <si>
    <t>PVD Black</t>
  </si>
  <si>
    <t>Rose Gold</t>
  </si>
  <si>
    <t>Clear Lacqur</t>
  </si>
  <si>
    <t>S.S.+10</t>
  </si>
  <si>
    <t>S.S.+12</t>
  </si>
  <si>
    <t>S.S.+105</t>
  </si>
  <si>
    <t>S.S.+60</t>
  </si>
  <si>
    <t>S.S.+30</t>
  </si>
  <si>
    <t>S.S.+400</t>
  </si>
  <si>
    <t>Lock - 3" (2.5mm)</t>
  </si>
  <si>
    <t>Lock - 4" (2.5mm)</t>
  </si>
  <si>
    <r>
      <t>4 x 1.1/8 x 5/32</t>
    </r>
    <r>
      <rPr>
        <b/>
        <sz val="12"/>
        <color theme="1"/>
        <rFont val="Calibri"/>
        <family val="2"/>
        <scheme val="minor"/>
      </rPr>
      <t xml:space="preserve"> (L)</t>
    </r>
  </si>
  <si>
    <r>
      <t>5 x 1.1/8 x 5/32</t>
    </r>
    <r>
      <rPr>
        <b/>
        <sz val="12"/>
        <color theme="1"/>
        <rFont val="Calibri"/>
        <family val="2"/>
        <scheme val="minor"/>
      </rPr>
      <t xml:space="preserve"> (L)</t>
    </r>
  </si>
  <si>
    <r>
      <t>6 x 1.1/8 x 5/32</t>
    </r>
    <r>
      <rPr>
        <b/>
        <sz val="12"/>
        <color theme="1"/>
        <rFont val="Calibri"/>
        <family val="2"/>
        <scheme val="minor"/>
      </rPr>
      <t xml:space="preserve"> (L)</t>
    </r>
  </si>
  <si>
    <r>
      <t>100*28*4</t>
    </r>
    <r>
      <rPr>
        <b/>
        <sz val="12"/>
        <color theme="1"/>
        <rFont val="Calibri"/>
        <family val="2"/>
        <scheme val="minor"/>
      </rPr>
      <t xml:space="preserve"> (L)</t>
    </r>
  </si>
  <si>
    <r>
      <t>125*28*4</t>
    </r>
    <r>
      <rPr>
        <b/>
        <sz val="12"/>
        <color theme="1"/>
        <rFont val="Calibri"/>
        <family val="2"/>
        <scheme val="minor"/>
      </rPr>
      <t xml:space="preserve"> (L)</t>
    </r>
  </si>
  <si>
    <r>
      <t>150*28*4</t>
    </r>
    <r>
      <rPr>
        <b/>
        <sz val="12"/>
        <color theme="1"/>
        <rFont val="Calibri"/>
        <family val="2"/>
        <scheme val="minor"/>
      </rPr>
      <t>(L)</t>
    </r>
  </si>
  <si>
    <r>
      <t>4 x 1.1/4 x 5/32</t>
    </r>
    <r>
      <rPr>
        <b/>
        <sz val="12"/>
        <color theme="1"/>
        <rFont val="Calibri"/>
        <family val="2"/>
        <scheme val="minor"/>
      </rPr>
      <t xml:space="preserve"> (L)</t>
    </r>
  </si>
  <si>
    <r>
      <t>5 x 1.1/4 x 5/32</t>
    </r>
    <r>
      <rPr>
        <b/>
        <sz val="12"/>
        <color theme="1"/>
        <rFont val="Calibri"/>
        <family val="2"/>
        <scheme val="minor"/>
      </rPr>
      <t xml:space="preserve"> (L)</t>
    </r>
  </si>
  <si>
    <r>
      <t>6 x 1.1/4 x 5/32</t>
    </r>
    <r>
      <rPr>
        <b/>
        <sz val="12"/>
        <color theme="1"/>
        <rFont val="Calibri"/>
        <family val="2"/>
        <scheme val="minor"/>
      </rPr>
      <t xml:space="preserve"> (L)</t>
    </r>
  </si>
  <si>
    <r>
      <t>8 x 1.1/4 x 5/32</t>
    </r>
    <r>
      <rPr>
        <b/>
        <sz val="12"/>
        <color theme="1"/>
        <rFont val="Calibri"/>
        <family val="2"/>
        <scheme val="minor"/>
      </rPr>
      <t xml:space="preserve"> (L)</t>
    </r>
  </si>
  <si>
    <r>
      <t>100*31*4</t>
    </r>
    <r>
      <rPr>
        <b/>
        <sz val="12"/>
        <color theme="1"/>
        <rFont val="Calibri"/>
        <family val="2"/>
        <scheme val="minor"/>
      </rPr>
      <t xml:space="preserve"> (L)</t>
    </r>
  </si>
  <si>
    <r>
      <t>125*31*4</t>
    </r>
    <r>
      <rPr>
        <b/>
        <sz val="12"/>
        <color theme="1"/>
        <rFont val="Calibri"/>
        <family val="2"/>
        <scheme val="minor"/>
      </rPr>
      <t xml:space="preserve"> (L)</t>
    </r>
  </si>
  <si>
    <r>
      <t>150*31*4</t>
    </r>
    <r>
      <rPr>
        <b/>
        <sz val="12"/>
        <color theme="1"/>
        <rFont val="Calibri"/>
        <family val="2"/>
        <scheme val="minor"/>
      </rPr>
      <t xml:space="preserve"> (L)</t>
    </r>
  </si>
  <si>
    <r>
      <t>200*31*4</t>
    </r>
    <r>
      <rPr>
        <b/>
        <sz val="12"/>
        <color theme="1"/>
        <rFont val="Calibri"/>
        <family val="2"/>
        <scheme val="minor"/>
      </rPr>
      <t xml:space="preserve"> (L)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</si>
</sst>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2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 vertical="top"/>
    </xf>
    <xf numFmtId="164" fontId="3" fillId="0" borderId="6" xfId="0" applyNumberFormat="1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25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4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64" fontId="2" fillId="0" borderId="6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64" fontId="2" fillId="0" borderId="10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3"/>
  <sheetViews>
    <sheetView tabSelected="1" workbookViewId="0"/>
  </sheetViews>
  <sheetFormatPr defaultRowHeight="15"/>
  <cols>
    <col min="1" max="1" width="14.28515625" customWidth="1"/>
    <col min="2" max="2" width="18.85546875" bestFit="1" customWidth="1"/>
    <col min="3" max="3" width="15.7109375" bestFit="1" customWidth="1"/>
    <col min="4" max="4" width="11.42578125" customWidth="1"/>
    <col min="5" max="5" width="10.7109375" customWidth="1"/>
    <col min="7" max="7" width="10" customWidth="1"/>
    <col min="8" max="8" width="10.42578125" customWidth="1"/>
    <col min="9" max="9" width="11.42578125" customWidth="1"/>
    <col min="10" max="10" width="5.28515625" bestFit="1" customWidth="1"/>
    <col min="11" max="11" width="7.5703125" bestFit="1" customWidth="1"/>
    <col min="12" max="12" width="7.5703125" customWidth="1"/>
    <col min="13" max="13" width="8.7109375" bestFit="1" customWidth="1"/>
    <col min="15" max="15" width="7.5703125" customWidth="1"/>
  </cols>
  <sheetData>
    <row r="1" spans="1:22" ht="57" thickBot="1">
      <c r="A1" s="20" t="s">
        <v>0</v>
      </c>
      <c r="B1" s="20" t="s">
        <v>1</v>
      </c>
      <c r="C1" s="20" t="s">
        <v>2</v>
      </c>
      <c r="D1" s="20" t="s">
        <v>3</v>
      </c>
      <c r="E1" s="35" t="s">
        <v>221</v>
      </c>
      <c r="F1" s="35" t="s">
        <v>226</v>
      </c>
      <c r="G1" s="35" t="s">
        <v>227</v>
      </c>
      <c r="H1" s="35" t="s">
        <v>228</v>
      </c>
      <c r="I1" s="35" t="s">
        <v>229</v>
      </c>
      <c r="J1" s="35" t="s">
        <v>230</v>
      </c>
      <c r="K1" s="35" t="s">
        <v>231</v>
      </c>
      <c r="L1" s="35" t="s">
        <v>232</v>
      </c>
      <c r="M1" s="35" t="s">
        <v>233</v>
      </c>
      <c r="N1" s="35" t="s">
        <v>234</v>
      </c>
      <c r="O1" s="35" t="s">
        <v>235</v>
      </c>
      <c r="P1" s="35" t="s">
        <v>236</v>
      </c>
      <c r="Q1" s="35" t="s">
        <v>237</v>
      </c>
      <c r="R1" s="35" t="s">
        <v>238</v>
      </c>
      <c r="S1" s="35" t="s">
        <v>239</v>
      </c>
      <c r="T1" s="35" t="s">
        <v>240</v>
      </c>
      <c r="U1" s="35" t="s">
        <v>241</v>
      </c>
      <c r="V1" s="35" t="s">
        <v>242</v>
      </c>
    </row>
    <row r="2" spans="1:22" ht="19.5" thickBot="1">
      <c r="A2" s="7">
        <v>0.95</v>
      </c>
      <c r="B2" s="8" t="s">
        <v>191</v>
      </c>
      <c r="C2" s="8" t="s">
        <v>192</v>
      </c>
      <c r="D2" s="9">
        <v>0.95</v>
      </c>
      <c r="E2" s="36">
        <f>D2/12</f>
        <v>7.9166666666666663E-2</v>
      </c>
      <c r="F2" s="43">
        <v>1</v>
      </c>
      <c r="G2" s="44">
        <v>1</v>
      </c>
      <c r="H2" s="43">
        <f>G2*F2</f>
        <v>1</v>
      </c>
      <c r="I2" s="45">
        <f>H2*E2</f>
        <v>7.9166666666666663E-2</v>
      </c>
      <c r="K2" s="43" t="s">
        <v>243</v>
      </c>
      <c r="L2" s="43" t="s">
        <v>244</v>
      </c>
      <c r="M2" s="43" t="s">
        <v>230</v>
      </c>
      <c r="N2" s="43" t="s">
        <v>245</v>
      </c>
      <c r="O2" s="43" t="s">
        <v>246</v>
      </c>
      <c r="P2" s="43" t="s">
        <v>247</v>
      </c>
      <c r="Q2" s="43" t="s">
        <v>246</v>
      </c>
      <c r="R2" s="43" t="s">
        <v>248</v>
      </c>
      <c r="S2" s="43" t="s">
        <v>248</v>
      </c>
      <c r="T2" s="43" t="s">
        <v>248</v>
      </c>
      <c r="U2" s="43" t="s">
        <v>248</v>
      </c>
      <c r="V2" s="43" t="s">
        <v>248</v>
      </c>
    </row>
    <row r="3" spans="1:22" ht="15.75" customHeight="1">
      <c r="A3" s="55">
        <v>1.45</v>
      </c>
      <c r="B3" s="5" t="s">
        <v>4</v>
      </c>
      <c r="C3" s="5" t="s">
        <v>5</v>
      </c>
      <c r="D3" s="1">
        <v>1.45</v>
      </c>
      <c r="E3" s="38">
        <f t="shared" ref="E3:E32" si="0">D3/12</f>
        <v>0.12083333333333333</v>
      </c>
      <c r="F3" s="43">
        <v>1</v>
      </c>
      <c r="G3" s="44">
        <v>1</v>
      </c>
      <c r="H3" s="43">
        <f t="shared" ref="H3:H32" si="1">G3*F3</f>
        <v>1</v>
      </c>
      <c r="I3" s="45">
        <f t="shared" ref="I3:I32" si="2">H3*E3</f>
        <v>0.12083333333333333</v>
      </c>
    </row>
    <row r="4" spans="1:22" ht="15.75">
      <c r="A4" s="55"/>
      <c r="B4" s="5" t="s">
        <v>6</v>
      </c>
      <c r="C4" s="5" t="s">
        <v>7</v>
      </c>
      <c r="D4" s="1">
        <v>1.9</v>
      </c>
      <c r="E4" s="38">
        <f t="shared" si="0"/>
        <v>0.15833333333333333</v>
      </c>
      <c r="F4" s="43">
        <v>1</v>
      </c>
      <c r="G4" s="44">
        <v>1</v>
      </c>
      <c r="H4" s="43">
        <f t="shared" si="1"/>
        <v>1</v>
      </c>
      <c r="I4" s="45">
        <f t="shared" si="2"/>
        <v>0.15833333333333333</v>
      </c>
    </row>
    <row r="5" spans="1:22" ht="16.5" thickBot="1">
      <c r="A5" s="56"/>
      <c r="B5" s="6" t="s">
        <v>8</v>
      </c>
      <c r="C5" s="6" t="s">
        <v>9</v>
      </c>
      <c r="D5" s="3">
        <v>2.4</v>
      </c>
      <c r="E5" s="39">
        <f t="shared" si="0"/>
        <v>0.19999999999999998</v>
      </c>
      <c r="F5" s="43">
        <v>1</v>
      </c>
      <c r="G5" s="44">
        <v>1</v>
      </c>
      <c r="H5" s="43">
        <f t="shared" si="1"/>
        <v>1</v>
      </c>
      <c r="I5" s="45">
        <f t="shared" si="2"/>
        <v>0.19999999999999998</v>
      </c>
    </row>
    <row r="6" spans="1:22" ht="15.75">
      <c r="A6" s="54">
        <v>3.25</v>
      </c>
      <c r="B6" s="10" t="s">
        <v>10</v>
      </c>
      <c r="C6" s="10" t="s">
        <v>11</v>
      </c>
      <c r="D6" s="11">
        <v>2.6</v>
      </c>
      <c r="E6" s="37">
        <f t="shared" si="0"/>
        <v>0.21666666666666667</v>
      </c>
      <c r="F6" s="43">
        <v>1</v>
      </c>
      <c r="G6" s="44">
        <v>1</v>
      </c>
      <c r="H6" s="43">
        <f t="shared" si="1"/>
        <v>1</v>
      </c>
      <c r="I6" s="45">
        <f t="shared" si="2"/>
        <v>0.21666666666666667</v>
      </c>
    </row>
    <row r="7" spans="1:22" ht="15.75">
      <c r="A7" s="55"/>
      <c r="B7" s="5" t="s">
        <v>12</v>
      </c>
      <c r="C7" s="5" t="s">
        <v>13</v>
      </c>
      <c r="D7" s="1">
        <v>3.25</v>
      </c>
      <c r="E7" s="38">
        <f t="shared" si="0"/>
        <v>0.27083333333333331</v>
      </c>
      <c r="F7" s="43">
        <v>1</v>
      </c>
      <c r="G7" s="44">
        <v>1</v>
      </c>
      <c r="H7" s="43">
        <f t="shared" si="1"/>
        <v>1</v>
      </c>
      <c r="I7" s="45">
        <f t="shared" si="2"/>
        <v>0.27083333333333331</v>
      </c>
    </row>
    <row r="8" spans="1:22" ht="16.5" thickBot="1">
      <c r="A8" s="56"/>
      <c r="B8" s="6" t="s">
        <v>14</v>
      </c>
      <c r="C8" s="6" t="s">
        <v>15</v>
      </c>
      <c r="D8" s="3">
        <v>3.9</v>
      </c>
      <c r="E8" s="39">
        <f t="shared" si="0"/>
        <v>0.32500000000000001</v>
      </c>
      <c r="F8" s="43">
        <v>1</v>
      </c>
      <c r="G8" s="44">
        <v>1</v>
      </c>
      <c r="H8" s="43">
        <f t="shared" si="1"/>
        <v>1</v>
      </c>
      <c r="I8" s="45">
        <f t="shared" si="2"/>
        <v>0.32500000000000001</v>
      </c>
    </row>
    <row r="9" spans="1:22" ht="15.75" customHeight="1">
      <c r="A9" s="54">
        <v>3.2</v>
      </c>
      <c r="B9" s="10" t="s">
        <v>251</v>
      </c>
      <c r="C9" s="10" t="s">
        <v>254</v>
      </c>
      <c r="D9" s="16">
        <v>2.56</v>
      </c>
      <c r="E9" s="37">
        <f t="shared" si="0"/>
        <v>0.21333333333333335</v>
      </c>
      <c r="F9" s="43">
        <v>1</v>
      </c>
      <c r="G9" s="44">
        <v>1</v>
      </c>
      <c r="H9" s="43">
        <f t="shared" si="1"/>
        <v>1</v>
      </c>
      <c r="I9" s="45">
        <f t="shared" si="2"/>
        <v>0.21333333333333335</v>
      </c>
    </row>
    <row r="10" spans="1:22" ht="15.75" customHeight="1">
      <c r="A10" s="55"/>
      <c r="B10" s="5" t="s">
        <v>252</v>
      </c>
      <c r="C10" s="5" t="s">
        <v>255</v>
      </c>
      <c r="D10" s="17">
        <v>3.2</v>
      </c>
      <c r="E10" s="38">
        <f t="shared" si="0"/>
        <v>0.26666666666666666</v>
      </c>
      <c r="F10" s="43">
        <v>1</v>
      </c>
      <c r="G10" s="44">
        <v>1</v>
      </c>
      <c r="H10" s="43">
        <f t="shared" si="1"/>
        <v>1</v>
      </c>
      <c r="I10" s="45">
        <f t="shared" si="2"/>
        <v>0.26666666666666666</v>
      </c>
    </row>
    <row r="11" spans="1:22" ht="15.75" customHeight="1">
      <c r="A11" s="55"/>
      <c r="B11" s="5" t="s">
        <v>253</v>
      </c>
      <c r="C11" s="5" t="s">
        <v>256</v>
      </c>
      <c r="D11" s="17">
        <v>3.85</v>
      </c>
      <c r="E11" s="38">
        <f t="shared" si="0"/>
        <v>0.32083333333333336</v>
      </c>
      <c r="F11" s="43">
        <v>1</v>
      </c>
      <c r="G11" s="44">
        <v>1</v>
      </c>
      <c r="H11" s="43">
        <f t="shared" si="1"/>
        <v>1</v>
      </c>
      <c r="I11" s="45">
        <f t="shared" si="2"/>
        <v>0.32083333333333336</v>
      </c>
    </row>
    <row r="12" spans="1:22" ht="15.75">
      <c r="A12" s="55">
        <v>3.6</v>
      </c>
      <c r="B12" s="5" t="s">
        <v>16</v>
      </c>
      <c r="C12" s="5" t="s">
        <v>17</v>
      </c>
      <c r="D12" s="1">
        <v>2.9</v>
      </c>
      <c r="E12" s="38">
        <f t="shared" si="0"/>
        <v>0.24166666666666667</v>
      </c>
      <c r="F12" s="43">
        <v>1</v>
      </c>
      <c r="G12" s="44">
        <v>1</v>
      </c>
      <c r="H12" s="43">
        <f t="shared" si="1"/>
        <v>1</v>
      </c>
      <c r="I12" s="45">
        <f t="shared" si="2"/>
        <v>0.24166666666666667</v>
      </c>
    </row>
    <row r="13" spans="1:22" ht="15.75" customHeight="1">
      <c r="A13" s="55"/>
      <c r="B13" s="5" t="s">
        <v>18</v>
      </c>
      <c r="C13" s="5" t="s">
        <v>19</v>
      </c>
      <c r="D13" s="1">
        <v>3.6</v>
      </c>
      <c r="E13" s="38">
        <f t="shared" si="0"/>
        <v>0.3</v>
      </c>
      <c r="F13" s="43">
        <v>1</v>
      </c>
      <c r="G13" s="44">
        <v>1</v>
      </c>
      <c r="H13" s="43">
        <f t="shared" si="1"/>
        <v>1</v>
      </c>
      <c r="I13" s="45">
        <f t="shared" si="2"/>
        <v>0.3</v>
      </c>
    </row>
    <row r="14" spans="1:22" ht="15.75" customHeight="1" thickBot="1">
      <c r="A14" s="56"/>
      <c r="B14" s="6" t="s">
        <v>20</v>
      </c>
      <c r="C14" s="6" t="s">
        <v>21</v>
      </c>
      <c r="D14" s="3">
        <v>4.3</v>
      </c>
      <c r="E14" s="39">
        <f t="shared" si="0"/>
        <v>0.35833333333333334</v>
      </c>
      <c r="F14" s="43">
        <v>1</v>
      </c>
      <c r="G14" s="44">
        <v>1</v>
      </c>
      <c r="H14" s="43">
        <f t="shared" si="1"/>
        <v>1</v>
      </c>
      <c r="I14" s="45">
        <f t="shared" si="2"/>
        <v>0.35833333333333334</v>
      </c>
    </row>
    <row r="15" spans="1:22" ht="15.75" customHeight="1">
      <c r="A15" s="54">
        <v>3.8</v>
      </c>
      <c r="B15" s="10" t="s">
        <v>257</v>
      </c>
      <c r="C15" s="10" t="s">
        <v>261</v>
      </c>
      <c r="D15" s="12">
        <v>3.05</v>
      </c>
      <c r="E15" s="37">
        <f t="shared" si="0"/>
        <v>0.25416666666666665</v>
      </c>
      <c r="F15" s="43">
        <v>1</v>
      </c>
      <c r="G15" s="44">
        <v>1</v>
      </c>
      <c r="H15" s="43">
        <f t="shared" si="1"/>
        <v>1</v>
      </c>
      <c r="I15" s="45">
        <f t="shared" si="2"/>
        <v>0.25416666666666665</v>
      </c>
    </row>
    <row r="16" spans="1:22" ht="15.75" customHeight="1">
      <c r="A16" s="55"/>
      <c r="B16" s="5" t="s">
        <v>258</v>
      </c>
      <c r="C16" s="5" t="s">
        <v>262</v>
      </c>
      <c r="D16" s="13">
        <v>3.8</v>
      </c>
      <c r="E16" s="38">
        <f t="shared" si="0"/>
        <v>0.31666666666666665</v>
      </c>
      <c r="F16" s="43">
        <v>1</v>
      </c>
      <c r="G16" s="44">
        <v>1</v>
      </c>
      <c r="H16" s="43">
        <f t="shared" si="1"/>
        <v>1</v>
      </c>
      <c r="I16" s="45">
        <f t="shared" si="2"/>
        <v>0.31666666666666665</v>
      </c>
    </row>
    <row r="17" spans="1:9" ht="15.75" customHeight="1">
      <c r="A17" s="55"/>
      <c r="B17" s="5" t="s">
        <v>259</v>
      </c>
      <c r="C17" s="5" t="s">
        <v>263</v>
      </c>
      <c r="D17" s="13">
        <v>4.5599999999999996</v>
      </c>
      <c r="E17" s="38">
        <f t="shared" si="0"/>
        <v>0.37999999999999995</v>
      </c>
      <c r="F17" s="43">
        <v>1</v>
      </c>
      <c r="G17" s="44">
        <v>1</v>
      </c>
      <c r="H17" s="43">
        <f t="shared" si="1"/>
        <v>1</v>
      </c>
      <c r="I17" s="45">
        <f t="shared" si="2"/>
        <v>0.37999999999999995</v>
      </c>
    </row>
    <row r="18" spans="1:9" ht="15.75" customHeight="1">
      <c r="A18" s="55"/>
      <c r="B18" s="5" t="s">
        <v>260</v>
      </c>
      <c r="C18" s="5" t="s">
        <v>264</v>
      </c>
      <c r="D18" s="13">
        <v>6.1</v>
      </c>
      <c r="E18" s="38">
        <f t="shared" si="0"/>
        <v>0.5083333333333333</v>
      </c>
      <c r="F18" s="43">
        <v>1</v>
      </c>
      <c r="G18" s="44">
        <v>1</v>
      </c>
      <c r="H18" s="43">
        <f t="shared" si="1"/>
        <v>1</v>
      </c>
      <c r="I18" s="45">
        <f t="shared" si="2"/>
        <v>0.5083333333333333</v>
      </c>
    </row>
    <row r="19" spans="1:9" ht="15.75" customHeight="1">
      <c r="A19" s="55">
        <v>4.2</v>
      </c>
      <c r="B19" s="5" t="s">
        <v>22</v>
      </c>
      <c r="C19" s="5" t="s">
        <v>23</v>
      </c>
      <c r="D19" s="1">
        <v>3.35</v>
      </c>
      <c r="E19" s="38">
        <f t="shared" si="0"/>
        <v>0.27916666666666667</v>
      </c>
      <c r="F19" s="43">
        <v>1</v>
      </c>
      <c r="G19" s="44">
        <v>1</v>
      </c>
      <c r="H19" s="43">
        <f t="shared" si="1"/>
        <v>1</v>
      </c>
      <c r="I19" s="45">
        <f t="shared" si="2"/>
        <v>0.27916666666666667</v>
      </c>
    </row>
    <row r="20" spans="1:9" ht="15.75" customHeight="1">
      <c r="A20" s="55"/>
      <c r="B20" s="5" t="s">
        <v>24</v>
      </c>
      <c r="C20" s="5" t="s">
        <v>25</v>
      </c>
      <c r="D20" s="1">
        <v>4.2</v>
      </c>
      <c r="E20" s="38">
        <f t="shared" si="0"/>
        <v>0.35000000000000003</v>
      </c>
      <c r="F20" s="43">
        <v>1</v>
      </c>
      <c r="G20" s="44">
        <v>1</v>
      </c>
      <c r="H20" s="43">
        <f t="shared" si="1"/>
        <v>1</v>
      </c>
      <c r="I20" s="45">
        <f t="shared" si="2"/>
        <v>0.35000000000000003</v>
      </c>
    </row>
    <row r="21" spans="1:9" ht="15.75" customHeight="1">
      <c r="A21" s="55"/>
      <c r="B21" s="5" t="s">
        <v>26</v>
      </c>
      <c r="C21" s="5" t="s">
        <v>27</v>
      </c>
      <c r="D21" s="1">
        <v>5.05</v>
      </c>
      <c r="E21" s="38">
        <f t="shared" si="0"/>
        <v>0.42083333333333334</v>
      </c>
      <c r="F21" s="43">
        <v>1</v>
      </c>
      <c r="G21" s="44">
        <v>1</v>
      </c>
      <c r="H21" s="43">
        <f t="shared" si="1"/>
        <v>1</v>
      </c>
      <c r="I21" s="45">
        <f t="shared" si="2"/>
        <v>0.42083333333333334</v>
      </c>
    </row>
    <row r="22" spans="1:9" ht="15.75" customHeight="1" thickBot="1">
      <c r="A22" s="56"/>
      <c r="B22" s="6" t="s">
        <v>28</v>
      </c>
      <c r="C22" s="6" t="s">
        <v>29</v>
      </c>
      <c r="D22" s="3">
        <v>6.72</v>
      </c>
      <c r="E22" s="39">
        <f t="shared" si="0"/>
        <v>0.55999999999999994</v>
      </c>
      <c r="F22" s="43">
        <v>1</v>
      </c>
      <c r="G22" s="44">
        <v>1</v>
      </c>
      <c r="H22" s="43">
        <f t="shared" si="1"/>
        <v>1</v>
      </c>
      <c r="I22" s="45">
        <f t="shared" si="2"/>
        <v>0.55999999999999994</v>
      </c>
    </row>
    <row r="23" spans="1:9" ht="15.75">
      <c r="A23" s="57">
        <v>4.8</v>
      </c>
      <c r="B23" s="46" t="s">
        <v>30</v>
      </c>
      <c r="C23" s="46" t="s">
        <v>31</v>
      </c>
      <c r="D23" s="47">
        <v>3.85</v>
      </c>
      <c r="E23" s="48">
        <f t="shared" si="0"/>
        <v>0.32083333333333336</v>
      </c>
      <c r="F23" s="43">
        <v>1</v>
      </c>
      <c r="G23" s="44">
        <v>1</v>
      </c>
      <c r="H23" s="43">
        <f t="shared" si="1"/>
        <v>1</v>
      </c>
      <c r="I23" s="45">
        <f t="shared" si="2"/>
        <v>0.32083333333333336</v>
      </c>
    </row>
    <row r="24" spans="1:9" ht="15.75">
      <c r="A24" s="55"/>
      <c r="B24" s="5" t="s">
        <v>32</v>
      </c>
      <c r="C24" s="5" t="s">
        <v>33</v>
      </c>
      <c r="D24" s="13">
        <v>4.8</v>
      </c>
      <c r="E24" s="38">
        <f t="shared" si="0"/>
        <v>0.39999999999999997</v>
      </c>
      <c r="F24" s="43">
        <v>1</v>
      </c>
      <c r="G24" s="44">
        <v>1</v>
      </c>
      <c r="H24" s="43">
        <f t="shared" si="1"/>
        <v>1</v>
      </c>
      <c r="I24" s="45">
        <f t="shared" si="2"/>
        <v>0.39999999999999997</v>
      </c>
    </row>
    <row r="25" spans="1:9" ht="16.5" thickBot="1">
      <c r="A25" s="56"/>
      <c r="B25" s="6" t="s">
        <v>34</v>
      </c>
      <c r="C25" s="6" t="s">
        <v>35</v>
      </c>
      <c r="D25" s="14">
        <v>5.7750000000000004</v>
      </c>
      <c r="E25" s="39">
        <f t="shared" si="0"/>
        <v>0.48125000000000001</v>
      </c>
      <c r="F25" s="43">
        <v>1</v>
      </c>
      <c r="G25" s="44">
        <v>1</v>
      </c>
      <c r="H25" s="43">
        <f t="shared" si="1"/>
        <v>1</v>
      </c>
      <c r="I25" s="45">
        <f t="shared" si="2"/>
        <v>0.48125000000000001</v>
      </c>
    </row>
    <row r="26" spans="1:9" ht="15.75">
      <c r="A26" s="54">
        <v>4.0999999999999996</v>
      </c>
      <c r="B26" s="10" t="s">
        <v>36</v>
      </c>
      <c r="C26" s="10" t="s">
        <v>37</v>
      </c>
      <c r="D26" s="11">
        <v>3.2749999999999999</v>
      </c>
      <c r="E26" s="37">
        <f t="shared" si="0"/>
        <v>0.27291666666666664</v>
      </c>
      <c r="F26" s="43">
        <v>1</v>
      </c>
      <c r="G26" s="44">
        <v>1</v>
      </c>
      <c r="H26" s="43">
        <f t="shared" si="1"/>
        <v>1</v>
      </c>
      <c r="I26" s="45">
        <f t="shared" si="2"/>
        <v>0.27291666666666664</v>
      </c>
    </row>
    <row r="27" spans="1:9" ht="15.75">
      <c r="A27" s="55"/>
      <c r="B27" s="5" t="s">
        <v>38</v>
      </c>
      <c r="C27" s="5" t="s">
        <v>39</v>
      </c>
      <c r="D27" s="1">
        <v>4.0999999999999996</v>
      </c>
      <c r="E27" s="38">
        <f t="shared" si="0"/>
        <v>0.34166666666666662</v>
      </c>
      <c r="F27" s="43">
        <v>1</v>
      </c>
      <c r="G27" s="44">
        <v>1</v>
      </c>
      <c r="H27" s="43">
        <f t="shared" si="1"/>
        <v>1</v>
      </c>
      <c r="I27" s="45">
        <f t="shared" si="2"/>
        <v>0.34166666666666662</v>
      </c>
    </row>
    <row r="28" spans="1:9" ht="16.5" thickBot="1">
      <c r="A28" s="56"/>
      <c r="B28" s="6" t="s">
        <v>40</v>
      </c>
      <c r="C28" s="6" t="s">
        <v>41</v>
      </c>
      <c r="D28" s="3">
        <v>4.9249999999999998</v>
      </c>
      <c r="E28" s="39">
        <f t="shared" si="0"/>
        <v>0.41041666666666665</v>
      </c>
      <c r="F28" s="43">
        <v>1</v>
      </c>
      <c r="G28" s="44">
        <v>1</v>
      </c>
      <c r="H28" s="43">
        <f t="shared" si="1"/>
        <v>1</v>
      </c>
      <c r="I28" s="45">
        <f t="shared" si="2"/>
        <v>0.41041666666666665</v>
      </c>
    </row>
    <row r="29" spans="1:9" ht="15.75" customHeight="1">
      <c r="A29" s="58">
        <v>5.05</v>
      </c>
      <c r="B29" s="5" t="s">
        <v>42</v>
      </c>
      <c r="C29" s="5" t="s">
        <v>43</v>
      </c>
      <c r="D29" s="1">
        <v>4.05</v>
      </c>
      <c r="E29" s="38">
        <f t="shared" si="0"/>
        <v>0.33749999999999997</v>
      </c>
      <c r="F29" s="43">
        <v>1</v>
      </c>
      <c r="G29" s="44">
        <v>1</v>
      </c>
      <c r="H29" s="43">
        <f t="shared" si="1"/>
        <v>1</v>
      </c>
      <c r="I29" s="45">
        <f t="shared" si="2"/>
        <v>0.33749999999999997</v>
      </c>
    </row>
    <row r="30" spans="1:9" ht="15.75" customHeight="1">
      <c r="A30" s="59"/>
      <c r="B30" s="5" t="s">
        <v>44</v>
      </c>
      <c r="C30" s="5" t="s">
        <v>45</v>
      </c>
      <c r="D30" s="1">
        <v>5.05</v>
      </c>
      <c r="E30" s="38">
        <f t="shared" si="0"/>
        <v>0.42083333333333334</v>
      </c>
      <c r="F30" s="43">
        <v>1</v>
      </c>
      <c r="G30" s="44">
        <v>1</v>
      </c>
      <c r="H30" s="43">
        <f t="shared" si="1"/>
        <v>1</v>
      </c>
      <c r="I30" s="45">
        <f t="shared" si="2"/>
        <v>0.42083333333333334</v>
      </c>
    </row>
    <row r="31" spans="1:9" ht="15.75" customHeight="1">
      <c r="A31" s="59"/>
      <c r="B31" s="5" t="s">
        <v>46</v>
      </c>
      <c r="C31" s="5" t="s">
        <v>47</v>
      </c>
      <c r="D31" s="1">
        <v>6.05</v>
      </c>
      <c r="E31" s="38">
        <f t="shared" si="0"/>
        <v>0.50416666666666665</v>
      </c>
      <c r="F31" s="43">
        <v>1</v>
      </c>
      <c r="G31" s="44">
        <v>1</v>
      </c>
      <c r="H31" s="43">
        <f t="shared" si="1"/>
        <v>1</v>
      </c>
      <c r="I31" s="45">
        <f t="shared" si="2"/>
        <v>0.50416666666666665</v>
      </c>
    </row>
    <row r="32" spans="1:9" ht="15" customHeight="1">
      <c r="A32" s="59"/>
      <c r="B32" s="5" t="s">
        <v>48</v>
      </c>
      <c r="C32" s="5" t="s">
        <v>49</v>
      </c>
      <c r="D32" s="1">
        <v>8.1</v>
      </c>
      <c r="E32" s="38">
        <f t="shared" si="0"/>
        <v>0.67499999999999993</v>
      </c>
      <c r="F32" s="43">
        <v>1</v>
      </c>
      <c r="G32" s="44">
        <v>1</v>
      </c>
      <c r="H32" s="43">
        <f t="shared" si="1"/>
        <v>1</v>
      </c>
      <c r="I32" s="45">
        <f t="shared" si="2"/>
        <v>0.67499999999999993</v>
      </c>
    </row>
    <row r="33" spans="1:9" ht="15" customHeight="1">
      <c r="A33" s="59"/>
      <c r="B33" s="5" t="s">
        <v>193</v>
      </c>
      <c r="C33" s="5" t="s">
        <v>196</v>
      </c>
      <c r="D33" s="1">
        <v>10.1</v>
      </c>
      <c r="E33" s="38">
        <f t="shared" ref="E33:E56" si="3">D33/12</f>
        <v>0.84166666666666667</v>
      </c>
      <c r="F33" s="43">
        <v>1</v>
      </c>
      <c r="G33" s="44">
        <v>1</v>
      </c>
      <c r="H33" s="43">
        <f t="shared" ref="H33:H56" si="4">G33*F33</f>
        <v>1</v>
      </c>
      <c r="I33" s="45">
        <f t="shared" ref="I33:I56" si="5">H33*E33</f>
        <v>0.84166666666666667</v>
      </c>
    </row>
    <row r="34" spans="1:9" ht="15" customHeight="1">
      <c r="A34" s="59"/>
      <c r="B34" s="5" t="s">
        <v>194</v>
      </c>
      <c r="C34" s="5" t="s">
        <v>197</v>
      </c>
      <c r="D34" s="1">
        <v>12.1</v>
      </c>
      <c r="E34" s="38">
        <f t="shared" si="3"/>
        <v>1.0083333333333333</v>
      </c>
      <c r="F34" s="43">
        <v>1</v>
      </c>
      <c r="G34" s="44">
        <v>1</v>
      </c>
      <c r="H34" s="43">
        <f t="shared" si="4"/>
        <v>1</v>
      </c>
      <c r="I34" s="45">
        <f t="shared" si="5"/>
        <v>1.0083333333333333</v>
      </c>
    </row>
    <row r="35" spans="1:9" ht="15" customHeight="1" thickBot="1">
      <c r="A35" s="60"/>
      <c r="B35" s="6" t="s">
        <v>195</v>
      </c>
      <c r="C35" s="6" t="s">
        <v>198</v>
      </c>
      <c r="D35" s="3">
        <v>18.149999999999999</v>
      </c>
      <c r="E35" s="39">
        <f t="shared" si="3"/>
        <v>1.5125</v>
      </c>
      <c r="F35" s="43">
        <v>1</v>
      </c>
      <c r="G35" s="44">
        <v>1</v>
      </c>
      <c r="H35" s="43">
        <f t="shared" si="4"/>
        <v>1</v>
      </c>
      <c r="I35" s="45">
        <f t="shared" si="5"/>
        <v>1.5125</v>
      </c>
    </row>
    <row r="36" spans="1:9" ht="15.75" customHeight="1">
      <c r="A36" s="61">
        <v>6</v>
      </c>
      <c r="B36" s="10" t="s">
        <v>50</v>
      </c>
      <c r="C36" s="10" t="s">
        <v>51</v>
      </c>
      <c r="D36" s="11">
        <v>4.8</v>
      </c>
      <c r="E36" s="37">
        <f t="shared" si="3"/>
        <v>0.39999999999999997</v>
      </c>
      <c r="F36" s="43">
        <v>1</v>
      </c>
      <c r="G36" s="44">
        <v>1</v>
      </c>
      <c r="H36" s="43">
        <f t="shared" si="4"/>
        <v>1</v>
      </c>
      <c r="I36" s="45">
        <f t="shared" si="5"/>
        <v>0.39999999999999997</v>
      </c>
    </row>
    <row r="37" spans="1:9" ht="15.75" customHeight="1">
      <c r="A37" s="59"/>
      <c r="B37" s="5" t="s">
        <v>52</v>
      </c>
      <c r="C37" s="5" t="s">
        <v>53</v>
      </c>
      <c r="D37" s="1">
        <v>6</v>
      </c>
      <c r="E37" s="38">
        <f t="shared" si="3"/>
        <v>0.5</v>
      </c>
      <c r="F37" s="43">
        <v>1</v>
      </c>
      <c r="G37" s="44">
        <v>1</v>
      </c>
      <c r="H37" s="43">
        <f t="shared" si="4"/>
        <v>1</v>
      </c>
      <c r="I37" s="45">
        <f t="shared" si="5"/>
        <v>0.5</v>
      </c>
    </row>
    <row r="38" spans="1:9" ht="15.75" customHeight="1">
      <c r="A38" s="59"/>
      <c r="B38" s="5" t="s">
        <v>54</v>
      </c>
      <c r="C38" s="5" t="s">
        <v>55</v>
      </c>
      <c r="D38" s="1">
        <v>7.2</v>
      </c>
      <c r="E38" s="38">
        <f t="shared" si="3"/>
        <v>0.6</v>
      </c>
      <c r="F38" s="43">
        <v>1</v>
      </c>
      <c r="G38" s="44">
        <v>1</v>
      </c>
      <c r="H38" s="43">
        <f t="shared" si="4"/>
        <v>1</v>
      </c>
      <c r="I38" s="45">
        <f t="shared" si="5"/>
        <v>0.6</v>
      </c>
    </row>
    <row r="39" spans="1:9" ht="15.75" customHeight="1">
      <c r="A39" s="59"/>
      <c r="B39" s="5" t="s">
        <v>56</v>
      </c>
      <c r="C39" s="5" t="s">
        <v>57</v>
      </c>
      <c r="D39" s="1">
        <v>9.6</v>
      </c>
      <c r="E39" s="38">
        <f t="shared" si="3"/>
        <v>0.79999999999999993</v>
      </c>
      <c r="F39" s="43">
        <v>1</v>
      </c>
      <c r="G39" s="44">
        <v>1</v>
      </c>
      <c r="H39" s="43">
        <f t="shared" si="4"/>
        <v>1</v>
      </c>
      <c r="I39" s="45">
        <f t="shared" si="5"/>
        <v>0.79999999999999993</v>
      </c>
    </row>
    <row r="40" spans="1:9" ht="15.75" customHeight="1">
      <c r="A40" s="59"/>
      <c r="B40" s="5" t="s">
        <v>199</v>
      </c>
      <c r="C40" s="5" t="s">
        <v>202</v>
      </c>
      <c r="D40" s="1">
        <v>12</v>
      </c>
      <c r="E40" s="38">
        <f t="shared" si="3"/>
        <v>1</v>
      </c>
      <c r="F40" s="43">
        <v>1</v>
      </c>
      <c r="G40" s="44">
        <v>1</v>
      </c>
      <c r="H40" s="43">
        <f t="shared" si="4"/>
        <v>1</v>
      </c>
      <c r="I40" s="45">
        <f t="shared" si="5"/>
        <v>1</v>
      </c>
    </row>
    <row r="41" spans="1:9" ht="15.75" customHeight="1">
      <c r="A41" s="59"/>
      <c r="B41" s="5" t="s">
        <v>200</v>
      </c>
      <c r="C41" s="5" t="s">
        <v>203</v>
      </c>
      <c r="D41" s="1">
        <v>14.4</v>
      </c>
      <c r="E41" s="38">
        <f t="shared" si="3"/>
        <v>1.2</v>
      </c>
      <c r="F41" s="43">
        <v>1</v>
      </c>
      <c r="G41" s="44">
        <v>1</v>
      </c>
      <c r="H41" s="43">
        <f t="shared" si="4"/>
        <v>1</v>
      </c>
      <c r="I41" s="45">
        <f t="shared" si="5"/>
        <v>1.2</v>
      </c>
    </row>
    <row r="42" spans="1:9" ht="15.75" customHeight="1" thickBot="1">
      <c r="A42" s="60"/>
      <c r="B42" s="6" t="s">
        <v>201</v>
      </c>
      <c r="C42" s="6" t="s">
        <v>204</v>
      </c>
      <c r="D42" s="3">
        <v>21.6</v>
      </c>
      <c r="E42" s="39">
        <f t="shared" si="3"/>
        <v>1.8</v>
      </c>
      <c r="F42" s="43">
        <v>1</v>
      </c>
      <c r="G42" s="44">
        <v>1</v>
      </c>
      <c r="H42" s="43">
        <f t="shared" si="4"/>
        <v>1</v>
      </c>
      <c r="I42" s="45">
        <f t="shared" si="5"/>
        <v>1.8</v>
      </c>
    </row>
    <row r="43" spans="1:9" ht="15.75">
      <c r="A43" s="54">
        <v>7.6</v>
      </c>
      <c r="B43" s="15" t="s">
        <v>205</v>
      </c>
      <c r="C43" s="15" t="s">
        <v>212</v>
      </c>
      <c r="D43" s="18">
        <v>5.0999999999999996</v>
      </c>
      <c r="E43" s="37">
        <f t="shared" si="3"/>
        <v>0.42499999999999999</v>
      </c>
      <c r="F43" s="43">
        <v>1</v>
      </c>
      <c r="G43" s="44">
        <v>1</v>
      </c>
      <c r="H43" s="43">
        <f t="shared" si="4"/>
        <v>1</v>
      </c>
      <c r="I43" s="45">
        <f t="shared" si="5"/>
        <v>0.42499999999999999</v>
      </c>
    </row>
    <row r="44" spans="1:9" ht="15.75">
      <c r="A44" s="55"/>
      <c r="B44" s="5" t="s">
        <v>206</v>
      </c>
      <c r="C44" s="5" t="s">
        <v>213</v>
      </c>
      <c r="D44" s="1">
        <v>7.6</v>
      </c>
      <c r="E44" s="38">
        <f t="shared" si="3"/>
        <v>0.6333333333333333</v>
      </c>
      <c r="F44" s="43">
        <v>1</v>
      </c>
      <c r="G44" s="44">
        <v>1</v>
      </c>
      <c r="H44" s="43">
        <f t="shared" si="4"/>
        <v>1</v>
      </c>
      <c r="I44" s="45">
        <f t="shared" si="5"/>
        <v>0.6333333333333333</v>
      </c>
    </row>
    <row r="45" spans="1:9" ht="15.75">
      <c r="A45" s="55"/>
      <c r="B45" s="5" t="s">
        <v>207</v>
      </c>
      <c r="C45" s="5" t="s">
        <v>214</v>
      </c>
      <c r="D45" s="1">
        <v>9.1</v>
      </c>
      <c r="E45" s="38">
        <f t="shared" si="3"/>
        <v>0.7583333333333333</v>
      </c>
      <c r="F45" s="43">
        <v>1</v>
      </c>
      <c r="G45" s="44">
        <v>1</v>
      </c>
      <c r="H45" s="43">
        <f t="shared" si="4"/>
        <v>1</v>
      </c>
      <c r="I45" s="45">
        <f t="shared" si="5"/>
        <v>0.7583333333333333</v>
      </c>
    </row>
    <row r="46" spans="1:9" ht="15.75">
      <c r="A46" s="55"/>
      <c r="B46" s="5" t="s">
        <v>208</v>
      </c>
      <c r="C46" s="5" t="s">
        <v>215</v>
      </c>
      <c r="D46" s="1">
        <v>10.199999999999999</v>
      </c>
      <c r="E46" s="38">
        <f t="shared" si="3"/>
        <v>0.85</v>
      </c>
      <c r="F46" s="43">
        <v>1</v>
      </c>
      <c r="G46" s="44">
        <v>1</v>
      </c>
      <c r="H46" s="43">
        <f t="shared" si="4"/>
        <v>1</v>
      </c>
      <c r="I46" s="45">
        <f t="shared" si="5"/>
        <v>0.85</v>
      </c>
    </row>
    <row r="47" spans="1:9" ht="15.75">
      <c r="A47" s="55"/>
      <c r="B47" s="5" t="s">
        <v>209</v>
      </c>
      <c r="C47" s="5" t="s">
        <v>216</v>
      </c>
      <c r="D47" s="1">
        <v>15.2</v>
      </c>
      <c r="E47" s="38">
        <f t="shared" si="3"/>
        <v>1.2666666666666666</v>
      </c>
      <c r="F47" s="43">
        <v>1</v>
      </c>
      <c r="G47" s="44">
        <v>1</v>
      </c>
      <c r="H47" s="43">
        <f t="shared" si="4"/>
        <v>1</v>
      </c>
      <c r="I47" s="45">
        <f t="shared" si="5"/>
        <v>1.2666666666666666</v>
      </c>
    </row>
    <row r="48" spans="1:9" ht="15.75">
      <c r="A48" s="55"/>
      <c r="B48" s="5" t="s">
        <v>210</v>
      </c>
      <c r="C48" s="5" t="s">
        <v>217</v>
      </c>
      <c r="D48" s="1">
        <v>18.2</v>
      </c>
      <c r="E48" s="38">
        <f t="shared" si="3"/>
        <v>1.5166666666666666</v>
      </c>
      <c r="F48" s="43">
        <v>1</v>
      </c>
      <c r="G48" s="44">
        <v>1</v>
      </c>
      <c r="H48" s="43">
        <f t="shared" si="4"/>
        <v>1</v>
      </c>
      <c r="I48" s="45">
        <f t="shared" si="5"/>
        <v>1.5166666666666666</v>
      </c>
    </row>
    <row r="49" spans="1:9" ht="16.5" thickBot="1">
      <c r="A49" s="56"/>
      <c r="B49" s="6" t="s">
        <v>211</v>
      </c>
      <c r="C49" s="6" t="s">
        <v>218</v>
      </c>
      <c r="D49" s="3">
        <v>27.3</v>
      </c>
      <c r="E49" s="39">
        <f t="shared" si="3"/>
        <v>2.2749999999999999</v>
      </c>
      <c r="F49" s="43">
        <v>1</v>
      </c>
      <c r="G49" s="44">
        <v>1</v>
      </c>
      <c r="H49" s="43">
        <f t="shared" si="4"/>
        <v>1</v>
      </c>
      <c r="I49" s="45">
        <f t="shared" si="5"/>
        <v>2.2749999999999999</v>
      </c>
    </row>
    <row r="50" spans="1:9" ht="15.75" customHeight="1">
      <c r="A50" s="49" t="s">
        <v>225</v>
      </c>
      <c r="B50" s="25" t="s">
        <v>103</v>
      </c>
      <c r="C50" s="26" t="s">
        <v>104</v>
      </c>
      <c r="D50" s="27">
        <v>1.2</v>
      </c>
      <c r="E50" s="37">
        <f t="shared" si="3"/>
        <v>9.9999999999999992E-2</v>
      </c>
      <c r="F50" s="43">
        <v>1</v>
      </c>
      <c r="G50" s="44">
        <v>1</v>
      </c>
      <c r="H50" s="43">
        <f t="shared" si="4"/>
        <v>1</v>
      </c>
      <c r="I50" s="45">
        <f t="shared" si="5"/>
        <v>9.9999999999999992E-2</v>
      </c>
    </row>
    <row r="51" spans="1:9" ht="15.75" customHeight="1">
      <c r="A51" s="50"/>
      <c r="B51" s="28" t="s">
        <v>105</v>
      </c>
      <c r="C51" s="29" t="s">
        <v>106</v>
      </c>
      <c r="D51" s="30">
        <v>1.35</v>
      </c>
      <c r="E51" s="38">
        <f t="shared" si="3"/>
        <v>0.1125</v>
      </c>
      <c r="F51" s="43">
        <v>1</v>
      </c>
      <c r="G51" s="44">
        <v>1</v>
      </c>
      <c r="H51" s="43">
        <f t="shared" si="4"/>
        <v>1</v>
      </c>
      <c r="I51" s="45">
        <f t="shared" si="5"/>
        <v>0.1125</v>
      </c>
    </row>
    <row r="52" spans="1:9" ht="15.75" customHeight="1">
      <c r="A52" s="50"/>
      <c r="B52" s="28" t="s">
        <v>107</v>
      </c>
      <c r="C52" s="29" t="s">
        <v>108</v>
      </c>
      <c r="D52" s="30">
        <v>1.5</v>
      </c>
      <c r="E52" s="38">
        <f t="shared" si="3"/>
        <v>0.125</v>
      </c>
      <c r="F52" s="43">
        <v>1</v>
      </c>
      <c r="G52" s="44">
        <v>1</v>
      </c>
      <c r="H52" s="43">
        <f t="shared" si="4"/>
        <v>1</v>
      </c>
      <c r="I52" s="45">
        <f t="shared" si="5"/>
        <v>0.125</v>
      </c>
    </row>
    <row r="53" spans="1:9" ht="16.5" customHeight="1" thickBot="1">
      <c r="A53" s="50"/>
      <c r="B53" s="31" t="s">
        <v>109</v>
      </c>
      <c r="C53" s="32" t="s">
        <v>110</v>
      </c>
      <c r="D53" s="33">
        <v>1.5</v>
      </c>
      <c r="E53" s="39">
        <f t="shared" si="3"/>
        <v>0.125</v>
      </c>
      <c r="F53" s="43">
        <v>1</v>
      </c>
      <c r="G53" s="44">
        <v>1</v>
      </c>
      <c r="H53" s="43">
        <f t="shared" si="4"/>
        <v>1</v>
      </c>
      <c r="I53" s="45">
        <f t="shared" si="5"/>
        <v>0.125</v>
      </c>
    </row>
    <row r="54" spans="1:9" ht="15.75" customHeight="1">
      <c r="A54" s="50"/>
      <c r="B54" s="25" t="s">
        <v>111</v>
      </c>
      <c r="C54" s="26" t="s">
        <v>112</v>
      </c>
      <c r="D54" s="27">
        <v>1.37</v>
      </c>
      <c r="E54" s="37">
        <f t="shared" si="3"/>
        <v>0.11416666666666668</v>
      </c>
      <c r="F54" s="43">
        <v>1</v>
      </c>
      <c r="G54" s="44">
        <v>1</v>
      </c>
      <c r="H54" s="43">
        <f t="shared" si="4"/>
        <v>1</v>
      </c>
      <c r="I54" s="45">
        <f t="shared" si="5"/>
        <v>0.11416666666666668</v>
      </c>
    </row>
    <row r="55" spans="1:9" ht="15.75" customHeight="1">
      <c r="A55" s="50"/>
      <c r="B55" s="28" t="s">
        <v>113</v>
      </c>
      <c r="C55" s="29" t="s">
        <v>114</v>
      </c>
      <c r="D55" s="30">
        <v>1.5</v>
      </c>
      <c r="E55" s="38">
        <f t="shared" si="3"/>
        <v>0.125</v>
      </c>
      <c r="F55" s="43">
        <v>1</v>
      </c>
      <c r="G55" s="44">
        <v>1</v>
      </c>
      <c r="H55" s="43">
        <f t="shared" si="4"/>
        <v>1</v>
      </c>
      <c r="I55" s="45">
        <f t="shared" si="5"/>
        <v>0.125</v>
      </c>
    </row>
    <row r="56" spans="1:9" ht="15.75" customHeight="1">
      <c r="A56" s="50"/>
      <c r="B56" s="28" t="s">
        <v>115</v>
      </c>
      <c r="C56" s="29" t="s">
        <v>116</v>
      </c>
      <c r="D56" s="30">
        <v>1.55</v>
      </c>
      <c r="E56" s="38">
        <f t="shared" si="3"/>
        <v>0.12916666666666668</v>
      </c>
      <c r="F56" s="43">
        <v>1</v>
      </c>
      <c r="G56" s="44">
        <v>1</v>
      </c>
      <c r="H56" s="43">
        <f t="shared" si="4"/>
        <v>1</v>
      </c>
      <c r="I56" s="45">
        <f t="shared" si="5"/>
        <v>0.12916666666666668</v>
      </c>
    </row>
    <row r="57" spans="1:9" ht="16.5" customHeight="1" thickBot="1">
      <c r="A57" s="50"/>
      <c r="B57" s="31" t="s">
        <v>117</v>
      </c>
      <c r="C57" s="32" t="s">
        <v>118</v>
      </c>
      <c r="D57" s="33">
        <v>1.65</v>
      </c>
      <c r="E57" s="39">
        <f t="shared" ref="E57:E152" si="6">D57/12</f>
        <v>0.13749999999999998</v>
      </c>
      <c r="F57" s="43">
        <v>1</v>
      </c>
      <c r="G57" s="44">
        <v>1</v>
      </c>
      <c r="H57" s="43">
        <f t="shared" ref="H57:H87" si="7">G57*F57</f>
        <v>1</v>
      </c>
      <c r="I57" s="45">
        <f t="shared" ref="I57:I87" si="8">H57*E57</f>
        <v>0.13749999999999998</v>
      </c>
    </row>
    <row r="58" spans="1:9" ht="15.75" customHeight="1">
      <c r="A58" s="50"/>
      <c r="B58" s="25" t="s">
        <v>119</v>
      </c>
      <c r="C58" s="26" t="s">
        <v>120</v>
      </c>
      <c r="D58" s="27">
        <v>1.5249999999999999</v>
      </c>
      <c r="E58" s="37">
        <f t="shared" si="6"/>
        <v>0.12708333333333333</v>
      </c>
      <c r="F58" s="43">
        <v>1</v>
      </c>
      <c r="G58" s="44">
        <v>1</v>
      </c>
      <c r="H58" s="43">
        <f t="shared" si="7"/>
        <v>1</v>
      </c>
      <c r="I58" s="45">
        <f t="shared" si="8"/>
        <v>0.12708333333333333</v>
      </c>
    </row>
    <row r="59" spans="1:9" ht="15.75" customHeight="1">
      <c r="A59" s="50"/>
      <c r="B59" s="28" t="s">
        <v>121</v>
      </c>
      <c r="C59" s="29" t="s">
        <v>122</v>
      </c>
      <c r="D59" s="30">
        <v>1.625</v>
      </c>
      <c r="E59" s="38">
        <f t="shared" si="6"/>
        <v>0.13541666666666666</v>
      </c>
      <c r="F59" s="43">
        <v>1</v>
      </c>
      <c r="G59" s="44">
        <v>1</v>
      </c>
      <c r="H59" s="43">
        <f t="shared" si="7"/>
        <v>1</v>
      </c>
      <c r="I59" s="45">
        <f t="shared" si="8"/>
        <v>0.13541666666666666</v>
      </c>
    </row>
    <row r="60" spans="1:9" ht="16.5" customHeight="1" thickBot="1">
      <c r="A60" s="50"/>
      <c r="B60" s="31" t="s">
        <v>123</v>
      </c>
      <c r="C60" s="32" t="s">
        <v>124</v>
      </c>
      <c r="D60" s="33">
        <v>1.75</v>
      </c>
      <c r="E60" s="39">
        <f t="shared" si="6"/>
        <v>0.14583333333333334</v>
      </c>
      <c r="F60" s="43">
        <v>1</v>
      </c>
      <c r="G60" s="44">
        <v>1</v>
      </c>
      <c r="H60" s="43">
        <f t="shared" si="7"/>
        <v>1</v>
      </c>
      <c r="I60" s="45">
        <f t="shared" si="8"/>
        <v>0.14583333333333334</v>
      </c>
    </row>
    <row r="61" spans="1:9" ht="15.75" customHeight="1">
      <c r="A61" s="50"/>
      <c r="B61" s="25" t="s">
        <v>125</v>
      </c>
      <c r="C61" s="26" t="s">
        <v>126</v>
      </c>
      <c r="D61" s="27">
        <v>1.6</v>
      </c>
      <c r="E61" s="37">
        <f t="shared" si="6"/>
        <v>0.13333333333333333</v>
      </c>
      <c r="F61" s="43">
        <v>1</v>
      </c>
      <c r="G61" s="44">
        <v>1</v>
      </c>
      <c r="H61" s="43">
        <f t="shared" si="7"/>
        <v>1</v>
      </c>
      <c r="I61" s="45">
        <f t="shared" si="8"/>
        <v>0.13333333333333333</v>
      </c>
    </row>
    <row r="62" spans="1:9" ht="15.75" customHeight="1">
      <c r="A62" s="50"/>
      <c r="B62" s="28" t="s">
        <v>127</v>
      </c>
      <c r="C62" s="29" t="s">
        <v>128</v>
      </c>
      <c r="D62" s="30">
        <v>1.7749999999999999</v>
      </c>
      <c r="E62" s="38">
        <f t="shared" si="6"/>
        <v>0.14791666666666667</v>
      </c>
      <c r="F62" s="43">
        <v>1</v>
      </c>
      <c r="G62" s="44">
        <v>1</v>
      </c>
      <c r="H62" s="43">
        <f t="shared" si="7"/>
        <v>1</v>
      </c>
      <c r="I62" s="45">
        <f t="shared" si="8"/>
        <v>0.14791666666666667</v>
      </c>
    </row>
    <row r="63" spans="1:9" ht="15.75" customHeight="1">
      <c r="A63" s="50"/>
      <c r="B63" s="28" t="s">
        <v>129</v>
      </c>
      <c r="C63" s="29" t="s">
        <v>130</v>
      </c>
      <c r="D63" s="30">
        <v>1.845</v>
      </c>
      <c r="E63" s="38">
        <f t="shared" si="6"/>
        <v>0.15375</v>
      </c>
      <c r="F63" s="43">
        <v>1</v>
      </c>
      <c r="G63" s="44">
        <v>1</v>
      </c>
      <c r="H63" s="43">
        <f t="shared" si="7"/>
        <v>1</v>
      </c>
      <c r="I63" s="45">
        <f t="shared" si="8"/>
        <v>0.15375</v>
      </c>
    </row>
    <row r="64" spans="1:9" ht="16.5" customHeight="1" thickBot="1">
      <c r="A64" s="50"/>
      <c r="B64" s="31" t="s">
        <v>131</v>
      </c>
      <c r="C64" s="32" t="s">
        <v>132</v>
      </c>
      <c r="D64" s="33">
        <v>2</v>
      </c>
      <c r="E64" s="39">
        <f t="shared" si="6"/>
        <v>0.16666666666666666</v>
      </c>
      <c r="F64" s="43">
        <v>1</v>
      </c>
      <c r="G64" s="44">
        <v>1</v>
      </c>
      <c r="H64" s="43">
        <f t="shared" si="7"/>
        <v>1</v>
      </c>
      <c r="I64" s="45">
        <f t="shared" si="8"/>
        <v>0.16666666666666666</v>
      </c>
    </row>
    <row r="65" spans="1:9" ht="15.75" customHeight="1">
      <c r="A65" s="50"/>
      <c r="B65" s="25" t="s">
        <v>133</v>
      </c>
      <c r="C65" s="26" t="s">
        <v>134</v>
      </c>
      <c r="D65" s="27">
        <v>1.9</v>
      </c>
      <c r="E65" s="37">
        <f t="shared" si="6"/>
        <v>0.15833333333333333</v>
      </c>
      <c r="F65" s="43">
        <v>1</v>
      </c>
      <c r="G65" s="44">
        <v>1</v>
      </c>
      <c r="H65" s="43">
        <f t="shared" si="7"/>
        <v>1</v>
      </c>
      <c r="I65" s="45">
        <f t="shared" si="8"/>
        <v>0.15833333333333333</v>
      </c>
    </row>
    <row r="66" spans="1:9" ht="15.75" customHeight="1">
      <c r="A66" s="50"/>
      <c r="B66" s="28" t="s">
        <v>135</v>
      </c>
      <c r="C66" s="29" t="s">
        <v>136</v>
      </c>
      <c r="D66" s="30">
        <v>2.0499999999999998</v>
      </c>
      <c r="E66" s="38">
        <f t="shared" si="6"/>
        <v>0.17083333333333331</v>
      </c>
      <c r="F66" s="43">
        <v>1</v>
      </c>
      <c r="G66" s="44">
        <v>1</v>
      </c>
      <c r="H66" s="43">
        <f t="shared" si="7"/>
        <v>1</v>
      </c>
      <c r="I66" s="45">
        <f t="shared" si="8"/>
        <v>0.17083333333333331</v>
      </c>
    </row>
    <row r="67" spans="1:9" ht="15.75" customHeight="1">
      <c r="A67" s="50"/>
      <c r="B67" s="28" t="s">
        <v>137</v>
      </c>
      <c r="C67" s="29" t="s">
        <v>138</v>
      </c>
      <c r="D67" s="30">
        <v>2.15</v>
      </c>
      <c r="E67" s="38">
        <f t="shared" si="6"/>
        <v>0.17916666666666667</v>
      </c>
      <c r="F67" s="43">
        <v>1</v>
      </c>
      <c r="G67" s="44">
        <v>1</v>
      </c>
      <c r="H67" s="43">
        <f t="shared" si="7"/>
        <v>1</v>
      </c>
      <c r="I67" s="45">
        <f t="shared" si="8"/>
        <v>0.17916666666666667</v>
      </c>
    </row>
    <row r="68" spans="1:9" ht="16.5" customHeight="1" thickBot="1">
      <c r="A68" s="50"/>
      <c r="B68" s="31" t="s">
        <v>139</v>
      </c>
      <c r="C68" s="32" t="s">
        <v>140</v>
      </c>
      <c r="D68" s="33">
        <v>2.2000000000000002</v>
      </c>
      <c r="E68" s="39">
        <f t="shared" si="6"/>
        <v>0.18333333333333335</v>
      </c>
      <c r="F68" s="43">
        <v>1</v>
      </c>
      <c r="G68" s="44">
        <v>1</v>
      </c>
      <c r="H68" s="43">
        <f t="shared" si="7"/>
        <v>1</v>
      </c>
      <c r="I68" s="45">
        <f t="shared" si="8"/>
        <v>0.18333333333333335</v>
      </c>
    </row>
    <row r="69" spans="1:9" ht="16.5" customHeight="1">
      <c r="A69" s="52" t="s">
        <v>249</v>
      </c>
      <c r="B69" s="25" t="s">
        <v>103</v>
      </c>
      <c r="C69" s="26" t="s">
        <v>104</v>
      </c>
      <c r="D69" s="27">
        <v>1.3</v>
      </c>
      <c r="E69" s="37">
        <f t="shared" si="6"/>
        <v>0.10833333333333334</v>
      </c>
      <c r="F69" s="43">
        <v>1</v>
      </c>
      <c r="G69" s="44">
        <v>1</v>
      </c>
      <c r="H69" s="43">
        <f t="shared" si="7"/>
        <v>1</v>
      </c>
      <c r="I69" s="45">
        <f t="shared" si="8"/>
        <v>0.10833333333333334</v>
      </c>
    </row>
    <row r="70" spans="1:9" ht="16.5" customHeight="1">
      <c r="A70" s="53"/>
      <c r="B70" s="28" t="s">
        <v>105</v>
      </c>
      <c r="C70" s="29" t="s">
        <v>106</v>
      </c>
      <c r="D70" s="30">
        <v>1.4</v>
      </c>
      <c r="E70" s="38">
        <f t="shared" si="6"/>
        <v>0.11666666666666665</v>
      </c>
      <c r="F70" s="43">
        <v>1</v>
      </c>
      <c r="G70" s="44">
        <v>1</v>
      </c>
      <c r="H70" s="43">
        <f t="shared" si="7"/>
        <v>1</v>
      </c>
      <c r="I70" s="45">
        <f t="shared" si="8"/>
        <v>0.11666666666666665</v>
      </c>
    </row>
    <row r="71" spans="1:9" ht="16.5" customHeight="1">
      <c r="A71" s="53"/>
      <c r="B71" s="28" t="s">
        <v>107</v>
      </c>
      <c r="C71" s="29" t="s">
        <v>108</v>
      </c>
      <c r="D71" s="30">
        <v>1.55</v>
      </c>
      <c r="E71" s="38">
        <f t="shared" si="6"/>
        <v>0.12916666666666668</v>
      </c>
      <c r="F71" s="43">
        <v>1</v>
      </c>
      <c r="G71" s="44">
        <v>1</v>
      </c>
      <c r="H71" s="43">
        <f t="shared" si="7"/>
        <v>1</v>
      </c>
      <c r="I71" s="45">
        <f t="shared" si="8"/>
        <v>0.12916666666666668</v>
      </c>
    </row>
    <row r="72" spans="1:9" ht="16.5" customHeight="1" thickBot="1">
      <c r="A72" s="53"/>
      <c r="B72" s="31" t="s">
        <v>109</v>
      </c>
      <c r="C72" s="32" t="s">
        <v>110</v>
      </c>
      <c r="D72" s="33">
        <v>1.55</v>
      </c>
      <c r="E72" s="39">
        <f t="shared" si="6"/>
        <v>0.12916666666666668</v>
      </c>
      <c r="F72" s="43">
        <v>1</v>
      </c>
      <c r="G72" s="44">
        <v>1</v>
      </c>
      <c r="H72" s="43">
        <f t="shared" si="7"/>
        <v>1</v>
      </c>
      <c r="I72" s="45">
        <f t="shared" si="8"/>
        <v>0.12916666666666668</v>
      </c>
    </row>
    <row r="73" spans="1:9" ht="16.5" customHeight="1">
      <c r="A73" s="53"/>
      <c r="B73" s="25" t="s">
        <v>111</v>
      </c>
      <c r="C73" s="26" t="s">
        <v>112</v>
      </c>
      <c r="D73" s="27">
        <v>1.4</v>
      </c>
      <c r="E73" s="37">
        <f t="shared" si="6"/>
        <v>0.11666666666666665</v>
      </c>
      <c r="F73" s="43">
        <v>1</v>
      </c>
      <c r="G73" s="44">
        <v>1</v>
      </c>
      <c r="H73" s="43">
        <f t="shared" si="7"/>
        <v>1</v>
      </c>
      <c r="I73" s="45">
        <f t="shared" si="8"/>
        <v>0.11666666666666665</v>
      </c>
    </row>
    <row r="74" spans="1:9" ht="16.5" customHeight="1">
      <c r="A74" s="53"/>
      <c r="B74" s="28" t="s">
        <v>113</v>
      </c>
      <c r="C74" s="29" t="s">
        <v>114</v>
      </c>
      <c r="D74" s="30">
        <v>1.55</v>
      </c>
      <c r="E74" s="38">
        <f t="shared" si="6"/>
        <v>0.12916666666666668</v>
      </c>
      <c r="F74" s="43">
        <v>1</v>
      </c>
      <c r="G74" s="44">
        <v>1</v>
      </c>
      <c r="H74" s="43">
        <f t="shared" si="7"/>
        <v>1</v>
      </c>
      <c r="I74" s="45">
        <f t="shared" si="8"/>
        <v>0.12916666666666668</v>
      </c>
    </row>
    <row r="75" spans="1:9" ht="16.5" customHeight="1">
      <c r="A75" s="53"/>
      <c r="B75" s="28" t="s">
        <v>115</v>
      </c>
      <c r="C75" s="29" t="s">
        <v>116</v>
      </c>
      <c r="D75" s="30">
        <v>1.6</v>
      </c>
      <c r="E75" s="38">
        <f t="shared" si="6"/>
        <v>0.13333333333333333</v>
      </c>
      <c r="F75" s="43">
        <v>1</v>
      </c>
      <c r="G75" s="44">
        <v>1</v>
      </c>
      <c r="H75" s="43">
        <f t="shared" si="7"/>
        <v>1</v>
      </c>
      <c r="I75" s="45">
        <f t="shared" si="8"/>
        <v>0.13333333333333333</v>
      </c>
    </row>
    <row r="76" spans="1:9" ht="16.5" customHeight="1" thickBot="1">
      <c r="A76" s="53"/>
      <c r="B76" s="31" t="s">
        <v>117</v>
      </c>
      <c r="C76" s="32" t="s">
        <v>118</v>
      </c>
      <c r="D76" s="33">
        <v>1.7</v>
      </c>
      <c r="E76" s="39">
        <f t="shared" ref="E76:E87" si="9">D76/12</f>
        <v>0.14166666666666666</v>
      </c>
      <c r="F76" s="43">
        <v>1</v>
      </c>
      <c r="G76" s="44">
        <v>1</v>
      </c>
      <c r="H76" s="43">
        <f t="shared" si="7"/>
        <v>1</v>
      </c>
      <c r="I76" s="45">
        <f t="shared" si="8"/>
        <v>0.14166666666666666</v>
      </c>
    </row>
    <row r="77" spans="1:9" ht="16.5" customHeight="1">
      <c r="A77" s="53"/>
      <c r="B77" s="25" t="s">
        <v>119</v>
      </c>
      <c r="C77" s="26" t="s">
        <v>120</v>
      </c>
      <c r="D77" s="27">
        <v>1.55</v>
      </c>
      <c r="E77" s="37">
        <f t="shared" si="9"/>
        <v>0.12916666666666668</v>
      </c>
      <c r="F77" s="43">
        <v>1</v>
      </c>
      <c r="G77" s="44">
        <v>1</v>
      </c>
      <c r="H77" s="43">
        <f t="shared" si="7"/>
        <v>1</v>
      </c>
      <c r="I77" s="45">
        <f t="shared" si="8"/>
        <v>0.12916666666666668</v>
      </c>
    </row>
    <row r="78" spans="1:9" ht="16.5" customHeight="1">
      <c r="A78" s="53"/>
      <c r="B78" s="28" t="s">
        <v>121</v>
      </c>
      <c r="C78" s="29" t="s">
        <v>122</v>
      </c>
      <c r="D78" s="30">
        <v>1.65</v>
      </c>
      <c r="E78" s="38">
        <f t="shared" si="9"/>
        <v>0.13749999999999998</v>
      </c>
      <c r="F78" s="43">
        <v>1</v>
      </c>
      <c r="G78" s="44">
        <v>1</v>
      </c>
      <c r="H78" s="43">
        <f t="shared" si="7"/>
        <v>1</v>
      </c>
      <c r="I78" s="45">
        <f t="shared" si="8"/>
        <v>0.13749999999999998</v>
      </c>
    </row>
    <row r="79" spans="1:9" ht="16.5" customHeight="1" thickBot="1">
      <c r="A79" s="53"/>
      <c r="B79" s="31" t="s">
        <v>123</v>
      </c>
      <c r="C79" s="32" t="s">
        <v>124</v>
      </c>
      <c r="D79" s="33">
        <v>1.8</v>
      </c>
      <c r="E79" s="39">
        <f t="shared" si="9"/>
        <v>0.15</v>
      </c>
      <c r="F79" s="43">
        <v>1</v>
      </c>
      <c r="G79" s="44">
        <v>1</v>
      </c>
      <c r="H79" s="43">
        <f t="shared" si="7"/>
        <v>1</v>
      </c>
      <c r="I79" s="45">
        <f t="shared" si="8"/>
        <v>0.15</v>
      </c>
    </row>
    <row r="80" spans="1:9" ht="16.5" customHeight="1">
      <c r="A80" s="53"/>
      <c r="B80" s="25" t="s">
        <v>125</v>
      </c>
      <c r="C80" s="26" t="s">
        <v>126</v>
      </c>
      <c r="D80" s="27">
        <v>1.65</v>
      </c>
      <c r="E80" s="37">
        <f t="shared" si="9"/>
        <v>0.13749999999999998</v>
      </c>
      <c r="F80" s="43">
        <v>1</v>
      </c>
      <c r="G80" s="44">
        <v>1</v>
      </c>
      <c r="H80" s="43">
        <f t="shared" si="7"/>
        <v>1</v>
      </c>
      <c r="I80" s="45">
        <f t="shared" si="8"/>
        <v>0.13749999999999998</v>
      </c>
    </row>
    <row r="81" spans="1:9" ht="16.5" customHeight="1">
      <c r="A81" s="53"/>
      <c r="B81" s="28" t="s">
        <v>127</v>
      </c>
      <c r="C81" s="29" t="s">
        <v>128</v>
      </c>
      <c r="D81" s="30">
        <v>1.8</v>
      </c>
      <c r="E81" s="38">
        <f t="shared" si="9"/>
        <v>0.15</v>
      </c>
      <c r="F81" s="43">
        <v>1</v>
      </c>
      <c r="G81" s="44">
        <v>1</v>
      </c>
      <c r="H81" s="43">
        <f t="shared" si="7"/>
        <v>1</v>
      </c>
      <c r="I81" s="45">
        <f t="shared" si="8"/>
        <v>0.15</v>
      </c>
    </row>
    <row r="82" spans="1:9" ht="16.5" customHeight="1">
      <c r="A82" s="53"/>
      <c r="B82" s="28" t="s">
        <v>129</v>
      </c>
      <c r="C82" s="29" t="s">
        <v>130</v>
      </c>
      <c r="D82" s="30">
        <v>1.85</v>
      </c>
      <c r="E82" s="38">
        <f t="shared" si="9"/>
        <v>0.15416666666666667</v>
      </c>
      <c r="F82" s="43">
        <v>1</v>
      </c>
      <c r="G82" s="44">
        <v>1</v>
      </c>
      <c r="H82" s="43">
        <f t="shared" si="7"/>
        <v>1</v>
      </c>
      <c r="I82" s="45">
        <f t="shared" si="8"/>
        <v>0.15416666666666667</v>
      </c>
    </row>
    <row r="83" spans="1:9" ht="16.5" customHeight="1" thickBot="1">
      <c r="A83" s="53"/>
      <c r="B83" s="31" t="s">
        <v>131</v>
      </c>
      <c r="C83" s="32" t="s">
        <v>132</v>
      </c>
      <c r="D83" s="33">
        <v>2.0499999999999998</v>
      </c>
      <c r="E83" s="39">
        <f t="shared" si="9"/>
        <v>0.17083333333333331</v>
      </c>
      <c r="F83" s="43">
        <v>1</v>
      </c>
      <c r="G83" s="44">
        <v>1</v>
      </c>
      <c r="H83" s="43">
        <f t="shared" si="7"/>
        <v>1</v>
      </c>
      <c r="I83" s="45">
        <f t="shared" si="8"/>
        <v>0.17083333333333331</v>
      </c>
    </row>
    <row r="84" spans="1:9" ht="16.5" customHeight="1">
      <c r="A84" s="53"/>
      <c r="B84" s="25" t="s">
        <v>133</v>
      </c>
      <c r="C84" s="26" t="s">
        <v>134</v>
      </c>
      <c r="D84" s="27">
        <v>1.95</v>
      </c>
      <c r="E84" s="37">
        <f t="shared" si="9"/>
        <v>0.16250000000000001</v>
      </c>
      <c r="F84" s="43">
        <v>1</v>
      </c>
      <c r="G84" s="44">
        <v>1</v>
      </c>
      <c r="H84" s="43">
        <f t="shared" si="7"/>
        <v>1</v>
      </c>
      <c r="I84" s="45">
        <f t="shared" si="8"/>
        <v>0.16250000000000001</v>
      </c>
    </row>
    <row r="85" spans="1:9" ht="16.5" customHeight="1">
      <c r="A85" s="53"/>
      <c r="B85" s="28" t="s">
        <v>135</v>
      </c>
      <c r="C85" s="29" t="s">
        <v>136</v>
      </c>
      <c r="D85" s="30">
        <v>2.1</v>
      </c>
      <c r="E85" s="38">
        <f t="shared" si="9"/>
        <v>0.17500000000000002</v>
      </c>
      <c r="F85" s="43">
        <v>1</v>
      </c>
      <c r="G85" s="44">
        <v>1</v>
      </c>
      <c r="H85" s="43">
        <f t="shared" si="7"/>
        <v>1</v>
      </c>
      <c r="I85" s="45">
        <f t="shared" si="8"/>
        <v>0.17500000000000002</v>
      </c>
    </row>
    <row r="86" spans="1:9" ht="16.5" customHeight="1">
      <c r="A86" s="53"/>
      <c r="B86" s="28" t="s">
        <v>137</v>
      </c>
      <c r="C86" s="29" t="s">
        <v>138</v>
      </c>
      <c r="D86" s="30">
        <v>2.2000000000000002</v>
      </c>
      <c r="E86" s="38">
        <f t="shared" si="9"/>
        <v>0.18333333333333335</v>
      </c>
      <c r="F86" s="43">
        <v>1</v>
      </c>
      <c r="G86" s="44">
        <v>1</v>
      </c>
      <c r="H86" s="43">
        <f t="shared" si="7"/>
        <v>1</v>
      </c>
      <c r="I86" s="45">
        <f t="shared" si="8"/>
        <v>0.18333333333333335</v>
      </c>
    </row>
    <row r="87" spans="1:9" ht="16.5" customHeight="1" thickBot="1">
      <c r="A87" s="53"/>
      <c r="B87" s="31" t="s">
        <v>139</v>
      </c>
      <c r="C87" s="32" t="s">
        <v>140</v>
      </c>
      <c r="D87" s="33">
        <v>2.25</v>
      </c>
      <c r="E87" s="39">
        <f t="shared" si="9"/>
        <v>0.1875</v>
      </c>
      <c r="F87" s="43">
        <v>1</v>
      </c>
      <c r="G87" s="44">
        <v>1</v>
      </c>
      <c r="H87" s="43">
        <f t="shared" si="7"/>
        <v>1</v>
      </c>
      <c r="I87" s="45">
        <f t="shared" si="8"/>
        <v>0.1875</v>
      </c>
    </row>
    <row r="88" spans="1:9" ht="15.75" customHeight="1">
      <c r="A88" s="49" t="s">
        <v>224</v>
      </c>
      <c r="B88" s="25" t="s">
        <v>58</v>
      </c>
      <c r="C88" s="26" t="s">
        <v>59</v>
      </c>
      <c r="D88" s="27">
        <v>1.6</v>
      </c>
      <c r="E88" s="37">
        <f t="shared" si="6"/>
        <v>0.13333333333333333</v>
      </c>
      <c r="F88" s="43">
        <v>1</v>
      </c>
      <c r="G88" s="44">
        <v>1</v>
      </c>
      <c r="H88" s="43">
        <f t="shared" ref="H88:H137" si="10">G88*F88</f>
        <v>1</v>
      </c>
      <c r="I88" s="45">
        <f t="shared" ref="I88:I137" si="11">H88*E88</f>
        <v>0.13333333333333333</v>
      </c>
    </row>
    <row r="89" spans="1:9" ht="15.75" customHeight="1">
      <c r="A89" s="50"/>
      <c r="B89" s="28" t="s">
        <v>60</v>
      </c>
      <c r="C89" s="29" t="s">
        <v>61</v>
      </c>
      <c r="D89" s="30">
        <v>1.7749999999999999</v>
      </c>
      <c r="E89" s="38">
        <f t="shared" si="6"/>
        <v>0.14791666666666667</v>
      </c>
      <c r="F89" s="43">
        <v>1</v>
      </c>
      <c r="G89" s="44">
        <v>1</v>
      </c>
      <c r="H89" s="43">
        <f t="shared" si="10"/>
        <v>1</v>
      </c>
      <c r="I89" s="45">
        <f t="shared" si="11"/>
        <v>0.14791666666666667</v>
      </c>
    </row>
    <row r="90" spans="1:9" ht="15.75" customHeight="1" thickBot="1">
      <c r="A90" s="50"/>
      <c r="B90" s="28" t="s">
        <v>62</v>
      </c>
      <c r="C90" s="29" t="s">
        <v>63</v>
      </c>
      <c r="D90" s="30">
        <v>2</v>
      </c>
      <c r="E90" s="38">
        <f t="shared" si="6"/>
        <v>0.16666666666666666</v>
      </c>
      <c r="F90" s="43">
        <v>1</v>
      </c>
      <c r="G90" s="44">
        <v>1</v>
      </c>
      <c r="H90" s="43">
        <f t="shared" si="10"/>
        <v>1</v>
      </c>
      <c r="I90" s="45">
        <f t="shared" si="11"/>
        <v>0.16666666666666666</v>
      </c>
    </row>
    <row r="91" spans="1:9" ht="15.75" customHeight="1">
      <c r="A91" s="50"/>
      <c r="B91" s="25" t="s">
        <v>65</v>
      </c>
      <c r="C91" s="26" t="s">
        <v>66</v>
      </c>
      <c r="D91" s="27">
        <v>1.85</v>
      </c>
      <c r="E91" s="37">
        <f t="shared" si="6"/>
        <v>0.15416666666666667</v>
      </c>
      <c r="F91" s="43">
        <v>1</v>
      </c>
      <c r="G91" s="44">
        <v>1</v>
      </c>
      <c r="H91" s="43">
        <f t="shared" si="10"/>
        <v>1</v>
      </c>
      <c r="I91" s="45">
        <f t="shared" si="11"/>
        <v>0.15416666666666667</v>
      </c>
    </row>
    <row r="92" spans="1:9" ht="15.75" customHeight="1">
      <c r="A92" s="50"/>
      <c r="B92" s="28" t="s">
        <v>67</v>
      </c>
      <c r="C92" s="29" t="s">
        <v>68</v>
      </c>
      <c r="D92" s="30">
        <v>2.0249999999999999</v>
      </c>
      <c r="E92" s="38">
        <f t="shared" si="6"/>
        <v>0.16874999999999998</v>
      </c>
      <c r="F92" s="43">
        <v>1</v>
      </c>
      <c r="G92" s="44">
        <v>1</v>
      </c>
      <c r="H92" s="43">
        <f t="shared" si="10"/>
        <v>1</v>
      </c>
      <c r="I92" s="45">
        <f t="shared" si="11"/>
        <v>0.16874999999999998</v>
      </c>
    </row>
    <row r="93" spans="1:9" ht="15.75" customHeight="1">
      <c r="A93" s="50"/>
      <c r="B93" s="28" t="s">
        <v>69</v>
      </c>
      <c r="C93" s="29" t="s">
        <v>70</v>
      </c>
      <c r="D93" s="30">
        <v>2.16</v>
      </c>
      <c r="E93" s="38">
        <f t="shared" si="6"/>
        <v>0.18000000000000002</v>
      </c>
      <c r="F93" s="43">
        <v>1</v>
      </c>
      <c r="G93" s="44">
        <v>1</v>
      </c>
      <c r="H93" s="43">
        <f t="shared" si="10"/>
        <v>1</v>
      </c>
      <c r="I93" s="45">
        <f t="shared" si="11"/>
        <v>0.18000000000000002</v>
      </c>
    </row>
    <row r="94" spans="1:9" ht="16.5" customHeight="1" thickBot="1">
      <c r="A94" s="50"/>
      <c r="B94" s="31" t="s">
        <v>71</v>
      </c>
      <c r="C94" s="32" t="s">
        <v>72</v>
      </c>
      <c r="D94" s="33">
        <v>2.3250000000000002</v>
      </c>
      <c r="E94" s="39">
        <f t="shared" si="6"/>
        <v>0.19375000000000001</v>
      </c>
      <c r="F94" s="43">
        <v>1</v>
      </c>
      <c r="G94" s="44">
        <v>1</v>
      </c>
      <c r="H94" s="43">
        <f t="shared" si="10"/>
        <v>1</v>
      </c>
      <c r="I94" s="45">
        <f t="shared" si="11"/>
        <v>0.19375000000000001</v>
      </c>
    </row>
    <row r="95" spans="1:9" ht="15.75" customHeight="1">
      <c r="A95" s="50"/>
      <c r="B95" s="25" t="s">
        <v>73</v>
      </c>
      <c r="C95" s="26" t="s">
        <v>74</v>
      </c>
      <c r="D95" s="27">
        <v>2</v>
      </c>
      <c r="E95" s="37">
        <f t="shared" si="6"/>
        <v>0.16666666666666666</v>
      </c>
      <c r="F95" s="43">
        <v>1</v>
      </c>
      <c r="G95" s="44">
        <v>1</v>
      </c>
      <c r="H95" s="43">
        <f t="shared" si="10"/>
        <v>1</v>
      </c>
      <c r="I95" s="45">
        <f t="shared" si="11"/>
        <v>0.16666666666666666</v>
      </c>
    </row>
    <row r="96" spans="1:9" ht="15.75" customHeight="1">
      <c r="A96" s="50"/>
      <c r="B96" s="28" t="s">
        <v>75</v>
      </c>
      <c r="C96" s="29" t="s">
        <v>76</v>
      </c>
      <c r="D96" s="30">
        <v>2.16</v>
      </c>
      <c r="E96" s="38">
        <f t="shared" si="6"/>
        <v>0.18000000000000002</v>
      </c>
      <c r="F96" s="43">
        <v>1</v>
      </c>
      <c r="G96" s="44">
        <v>1</v>
      </c>
      <c r="H96" s="43">
        <f t="shared" si="10"/>
        <v>1</v>
      </c>
      <c r="I96" s="45">
        <f t="shared" si="11"/>
        <v>0.18000000000000002</v>
      </c>
    </row>
    <row r="97" spans="1:9" ht="16.5" customHeight="1" thickBot="1">
      <c r="A97" s="50"/>
      <c r="B97" s="31" t="s">
        <v>77</v>
      </c>
      <c r="C97" s="32" t="s">
        <v>78</v>
      </c>
      <c r="D97" s="33">
        <v>2.3250000000000002</v>
      </c>
      <c r="E97" s="39">
        <f t="shared" si="6"/>
        <v>0.19375000000000001</v>
      </c>
      <c r="F97" s="43">
        <v>1</v>
      </c>
      <c r="G97" s="44">
        <v>1</v>
      </c>
      <c r="H97" s="43">
        <f t="shared" si="10"/>
        <v>1</v>
      </c>
      <c r="I97" s="45">
        <f t="shared" si="11"/>
        <v>0.19375000000000001</v>
      </c>
    </row>
    <row r="98" spans="1:9" ht="15.75" customHeight="1">
      <c r="A98" s="50"/>
      <c r="B98" s="25" t="s">
        <v>79</v>
      </c>
      <c r="C98" s="26" t="s">
        <v>80</v>
      </c>
      <c r="D98" s="27">
        <v>2.13</v>
      </c>
      <c r="E98" s="37">
        <f t="shared" si="6"/>
        <v>0.17749999999999999</v>
      </c>
      <c r="F98" s="43">
        <v>1</v>
      </c>
      <c r="G98" s="44">
        <v>1</v>
      </c>
      <c r="H98" s="43">
        <f t="shared" si="10"/>
        <v>1</v>
      </c>
      <c r="I98" s="45">
        <f t="shared" si="11"/>
        <v>0.17749999999999999</v>
      </c>
    </row>
    <row r="99" spans="1:9" ht="15.75" customHeight="1">
      <c r="A99" s="50"/>
      <c r="B99" s="28" t="s">
        <v>81</v>
      </c>
      <c r="C99" s="29" t="s">
        <v>82</v>
      </c>
      <c r="D99" s="30">
        <v>2.3250000000000002</v>
      </c>
      <c r="E99" s="38">
        <f t="shared" si="6"/>
        <v>0.19375000000000001</v>
      </c>
      <c r="F99" s="43">
        <v>1</v>
      </c>
      <c r="G99" s="44">
        <v>1</v>
      </c>
      <c r="H99" s="43">
        <f t="shared" si="10"/>
        <v>1</v>
      </c>
      <c r="I99" s="45">
        <f t="shared" si="11"/>
        <v>0.19375000000000001</v>
      </c>
    </row>
    <row r="100" spans="1:9" ht="15.75" customHeight="1">
      <c r="A100" s="50"/>
      <c r="B100" s="28" t="s">
        <v>83</v>
      </c>
      <c r="C100" s="29" t="s">
        <v>84</v>
      </c>
      <c r="D100" s="30">
        <v>2.4500000000000002</v>
      </c>
      <c r="E100" s="38">
        <f t="shared" si="6"/>
        <v>0.20416666666666669</v>
      </c>
      <c r="F100" s="43">
        <v>1</v>
      </c>
      <c r="G100" s="44">
        <v>1</v>
      </c>
      <c r="H100" s="43">
        <f t="shared" si="10"/>
        <v>1</v>
      </c>
      <c r="I100" s="45">
        <f t="shared" si="11"/>
        <v>0.20416666666666669</v>
      </c>
    </row>
    <row r="101" spans="1:9" ht="16.5" customHeight="1" thickBot="1">
      <c r="A101" s="50"/>
      <c r="B101" s="31" t="s">
        <v>85</v>
      </c>
      <c r="C101" s="32" t="s">
        <v>86</v>
      </c>
      <c r="D101" s="33">
        <v>2.65</v>
      </c>
      <c r="E101" s="39">
        <f t="shared" si="6"/>
        <v>0.22083333333333333</v>
      </c>
      <c r="F101" s="43">
        <v>1</v>
      </c>
      <c r="G101" s="44">
        <v>1</v>
      </c>
      <c r="H101" s="43">
        <f t="shared" si="10"/>
        <v>1</v>
      </c>
      <c r="I101" s="45">
        <f t="shared" si="11"/>
        <v>0.22083333333333333</v>
      </c>
    </row>
    <row r="102" spans="1:9" ht="15.75" customHeight="1">
      <c r="A102" s="50"/>
      <c r="B102" s="25" t="s">
        <v>87</v>
      </c>
      <c r="C102" s="26" t="s">
        <v>88</v>
      </c>
      <c r="D102" s="27">
        <v>2.4</v>
      </c>
      <c r="E102" s="37">
        <f t="shared" si="6"/>
        <v>0.19999999999999998</v>
      </c>
      <c r="F102" s="43">
        <v>1</v>
      </c>
      <c r="G102" s="44">
        <v>1</v>
      </c>
      <c r="H102" s="43">
        <f t="shared" si="10"/>
        <v>1</v>
      </c>
      <c r="I102" s="45">
        <f t="shared" si="11"/>
        <v>0.19999999999999998</v>
      </c>
    </row>
    <row r="103" spans="1:9" ht="15.75" customHeight="1">
      <c r="A103" s="50"/>
      <c r="B103" s="28" t="s">
        <v>89</v>
      </c>
      <c r="C103" s="29" t="s">
        <v>90</v>
      </c>
      <c r="D103" s="30">
        <v>2.6</v>
      </c>
      <c r="E103" s="38">
        <f t="shared" si="6"/>
        <v>0.21666666666666667</v>
      </c>
      <c r="F103" s="43">
        <v>1</v>
      </c>
      <c r="G103" s="44">
        <v>1</v>
      </c>
      <c r="H103" s="43">
        <f t="shared" si="10"/>
        <v>1</v>
      </c>
      <c r="I103" s="45">
        <f t="shared" si="11"/>
        <v>0.21666666666666667</v>
      </c>
    </row>
    <row r="104" spans="1:9" ht="15.75" customHeight="1">
      <c r="A104" s="50"/>
      <c r="B104" s="28" t="s">
        <v>91</v>
      </c>
      <c r="C104" s="29" t="s">
        <v>92</v>
      </c>
      <c r="D104" s="30">
        <v>2.7</v>
      </c>
      <c r="E104" s="38">
        <f t="shared" si="6"/>
        <v>0.22500000000000001</v>
      </c>
      <c r="F104" s="43">
        <v>1</v>
      </c>
      <c r="G104" s="44">
        <v>1</v>
      </c>
      <c r="H104" s="43">
        <f t="shared" si="10"/>
        <v>1</v>
      </c>
      <c r="I104" s="45">
        <f t="shared" si="11"/>
        <v>0.22500000000000001</v>
      </c>
    </row>
    <row r="105" spans="1:9" ht="16.5" customHeight="1" thickBot="1">
      <c r="A105" s="50"/>
      <c r="B105" s="31" t="s">
        <v>93</v>
      </c>
      <c r="C105" s="32" t="s">
        <v>94</v>
      </c>
      <c r="D105" s="33">
        <v>2.95</v>
      </c>
      <c r="E105" s="39">
        <f t="shared" si="6"/>
        <v>0.24583333333333335</v>
      </c>
      <c r="F105" s="43">
        <v>1</v>
      </c>
      <c r="G105" s="44">
        <v>1</v>
      </c>
      <c r="H105" s="43">
        <f t="shared" si="10"/>
        <v>1</v>
      </c>
      <c r="I105" s="45">
        <f t="shared" si="11"/>
        <v>0.24583333333333335</v>
      </c>
    </row>
    <row r="106" spans="1:9" ht="15.75" customHeight="1">
      <c r="A106" s="50"/>
      <c r="B106" s="25" t="s">
        <v>95</v>
      </c>
      <c r="C106" s="26" t="s">
        <v>96</v>
      </c>
      <c r="D106" s="27">
        <v>2.5750000000000002</v>
      </c>
      <c r="E106" s="37">
        <f t="shared" si="6"/>
        <v>0.21458333333333335</v>
      </c>
      <c r="F106" s="43">
        <v>1</v>
      </c>
      <c r="G106" s="44">
        <v>1</v>
      </c>
      <c r="H106" s="43">
        <f t="shared" si="10"/>
        <v>1</v>
      </c>
      <c r="I106" s="45">
        <f t="shared" si="11"/>
        <v>0.21458333333333335</v>
      </c>
    </row>
    <row r="107" spans="1:9" ht="15.75" customHeight="1">
      <c r="A107" s="50"/>
      <c r="B107" s="28" t="s">
        <v>97</v>
      </c>
      <c r="C107" s="29" t="s">
        <v>98</v>
      </c>
      <c r="D107" s="30">
        <v>2.75</v>
      </c>
      <c r="E107" s="38">
        <f t="shared" si="6"/>
        <v>0.22916666666666666</v>
      </c>
      <c r="F107" s="43">
        <v>1</v>
      </c>
      <c r="G107" s="44">
        <v>1</v>
      </c>
      <c r="H107" s="43">
        <f t="shared" si="10"/>
        <v>1</v>
      </c>
      <c r="I107" s="45">
        <f t="shared" si="11"/>
        <v>0.22916666666666666</v>
      </c>
    </row>
    <row r="108" spans="1:9" ht="15.75" customHeight="1">
      <c r="A108" s="50"/>
      <c r="B108" s="28" t="s">
        <v>99</v>
      </c>
      <c r="C108" s="29" t="s">
        <v>100</v>
      </c>
      <c r="D108" s="30">
        <v>2.8</v>
      </c>
      <c r="E108" s="38">
        <f t="shared" si="6"/>
        <v>0.23333333333333331</v>
      </c>
      <c r="F108" s="43">
        <v>1</v>
      </c>
      <c r="G108" s="44">
        <v>1</v>
      </c>
      <c r="H108" s="43">
        <f t="shared" si="10"/>
        <v>1</v>
      </c>
      <c r="I108" s="45">
        <f t="shared" si="11"/>
        <v>0.23333333333333331</v>
      </c>
    </row>
    <row r="109" spans="1:9" ht="16.5" customHeight="1" thickBot="1">
      <c r="A109" s="50"/>
      <c r="B109" s="2" t="s">
        <v>101</v>
      </c>
      <c r="C109" s="6" t="s">
        <v>102</v>
      </c>
      <c r="D109" s="21"/>
      <c r="E109" s="39">
        <f t="shared" si="6"/>
        <v>0</v>
      </c>
      <c r="F109" s="43">
        <v>1</v>
      </c>
      <c r="G109" s="44">
        <v>1</v>
      </c>
      <c r="H109" s="43">
        <f t="shared" si="10"/>
        <v>1</v>
      </c>
      <c r="I109" s="45">
        <f t="shared" si="11"/>
        <v>0</v>
      </c>
    </row>
    <row r="110" spans="1:9" ht="16.5" customHeight="1">
      <c r="A110" s="52" t="s">
        <v>250</v>
      </c>
      <c r="B110" s="25" t="s">
        <v>58</v>
      </c>
      <c r="C110" s="26" t="s">
        <v>59</v>
      </c>
      <c r="D110" s="27">
        <v>1.65</v>
      </c>
      <c r="E110" s="37">
        <f t="shared" ref="E110:E131" si="12">D110/12</f>
        <v>0.13749999999999998</v>
      </c>
      <c r="F110" s="43">
        <v>1</v>
      </c>
      <c r="G110" s="44">
        <v>1</v>
      </c>
      <c r="H110" s="43">
        <f t="shared" si="10"/>
        <v>1</v>
      </c>
      <c r="I110" s="45">
        <f t="shared" si="11"/>
        <v>0.13749999999999998</v>
      </c>
    </row>
    <row r="111" spans="1:9" ht="16.5" customHeight="1">
      <c r="A111" s="53"/>
      <c r="B111" s="28" t="s">
        <v>60</v>
      </c>
      <c r="C111" s="29" t="s">
        <v>61</v>
      </c>
      <c r="D111" s="30">
        <v>1.8</v>
      </c>
      <c r="E111" s="38">
        <f t="shared" si="12"/>
        <v>0.15</v>
      </c>
      <c r="F111" s="43">
        <v>1</v>
      </c>
      <c r="G111" s="44">
        <v>1</v>
      </c>
      <c r="H111" s="43">
        <f t="shared" si="10"/>
        <v>1</v>
      </c>
      <c r="I111" s="45">
        <f t="shared" si="11"/>
        <v>0.15</v>
      </c>
    </row>
    <row r="112" spans="1:9" ht="16.5" customHeight="1" thickBot="1">
      <c r="A112" s="53"/>
      <c r="B112" s="28" t="s">
        <v>62</v>
      </c>
      <c r="C112" s="29" t="s">
        <v>63</v>
      </c>
      <c r="D112" s="30">
        <v>2.0249999999999999</v>
      </c>
      <c r="E112" s="38">
        <f t="shared" si="12"/>
        <v>0.16874999999999998</v>
      </c>
      <c r="F112" s="43">
        <v>1</v>
      </c>
      <c r="G112" s="44">
        <v>1</v>
      </c>
      <c r="H112" s="43">
        <f t="shared" si="10"/>
        <v>1</v>
      </c>
      <c r="I112" s="45">
        <f t="shared" si="11"/>
        <v>0.16874999999999998</v>
      </c>
    </row>
    <row r="113" spans="1:9" ht="16.5" customHeight="1">
      <c r="A113" s="53"/>
      <c r="B113" s="25" t="s">
        <v>65</v>
      </c>
      <c r="C113" s="26" t="s">
        <v>66</v>
      </c>
      <c r="D113" s="27">
        <v>1.9</v>
      </c>
      <c r="E113" s="37">
        <f t="shared" si="12"/>
        <v>0.15833333333333333</v>
      </c>
      <c r="F113" s="43">
        <v>1</v>
      </c>
      <c r="G113" s="44">
        <v>1</v>
      </c>
      <c r="H113" s="43">
        <f t="shared" si="10"/>
        <v>1</v>
      </c>
      <c r="I113" s="45">
        <f t="shared" si="11"/>
        <v>0.15833333333333333</v>
      </c>
    </row>
    <row r="114" spans="1:9" ht="16.5" customHeight="1">
      <c r="A114" s="53"/>
      <c r="B114" s="28" t="s">
        <v>67</v>
      </c>
      <c r="C114" s="29" t="s">
        <v>68</v>
      </c>
      <c r="D114" s="30">
        <v>2.0499999999999998</v>
      </c>
      <c r="E114" s="38">
        <f t="shared" si="12"/>
        <v>0.17083333333333331</v>
      </c>
      <c r="F114" s="43">
        <v>1</v>
      </c>
      <c r="G114" s="44">
        <v>1</v>
      </c>
      <c r="H114" s="43">
        <f t="shared" si="10"/>
        <v>1</v>
      </c>
      <c r="I114" s="45">
        <f t="shared" si="11"/>
        <v>0.17083333333333331</v>
      </c>
    </row>
    <row r="115" spans="1:9" ht="16.5" customHeight="1">
      <c r="A115" s="53"/>
      <c r="B115" s="28" t="s">
        <v>69</v>
      </c>
      <c r="C115" s="29" t="s">
        <v>70</v>
      </c>
      <c r="D115" s="30">
        <v>2.1749999999999998</v>
      </c>
      <c r="E115" s="38">
        <f t="shared" si="12"/>
        <v>0.18124999999999999</v>
      </c>
      <c r="F115" s="43">
        <v>1</v>
      </c>
      <c r="G115" s="44">
        <v>1</v>
      </c>
      <c r="H115" s="43">
        <f t="shared" si="10"/>
        <v>1</v>
      </c>
      <c r="I115" s="45">
        <f t="shared" si="11"/>
        <v>0.18124999999999999</v>
      </c>
    </row>
    <row r="116" spans="1:9" ht="16.5" customHeight="1" thickBot="1">
      <c r="A116" s="53"/>
      <c r="B116" s="31" t="s">
        <v>71</v>
      </c>
      <c r="C116" s="32" t="s">
        <v>72</v>
      </c>
      <c r="D116" s="33">
        <v>2.35</v>
      </c>
      <c r="E116" s="39">
        <f t="shared" si="12"/>
        <v>0.19583333333333333</v>
      </c>
      <c r="F116" s="43">
        <v>1</v>
      </c>
      <c r="G116" s="44">
        <v>1</v>
      </c>
      <c r="H116" s="43">
        <f t="shared" si="10"/>
        <v>1</v>
      </c>
      <c r="I116" s="45">
        <f t="shared" si="11"/>
        <v>0.19583333333333333</v>
      </c>
    </row>
    <row r="117" spans="1:9" ht="16.5" customHeight="1">
      <c r="A117" s="53"/>
      <c r="B117" s="25" t="s">
        <v>73</v>
      </c>
      <c r="C117" s="26" t="s">
        <v>74</v>
      </c>
      <c r="D117" s="27">
        <v>2.0499999999999998</v>
      </c>
      <c r="E117" s="37">
        <f t="shared" si="12"/>
        <v>0.17083333333333331</v>
      </c>
      <c r="F117" s="43">
        <v>1</v>
      </c>
      <c r="G117" s="44">
        <v>1</v>
      </c>
      <c r="H117" s="43">
        <f t="shared" si="10"/>
        <v>1</v>
      </c>
      <c r="I117" s="45">
        <f t="shared" si="11"/>
        <v>0.17083333333333331</v>
      </c>
    </row>
    <row r="118" spans="1:9" ht="16.5" customHeight="1">
      <c r="A118" s="53"/>
      <c r="B118" s="28" t="s">
        <v>75</v>
      </c>
      <c r="C118" s="29" t="s">
        <v>76</v>
      </c>
      <c r="D118" s="30">
        <v>2.1749999999999998</v>
      </c>
      <c r="E118" s="38">
        <f t="shared" si="12"/>
        <v>0.18124999999999999</v>
      </c>
      <c r="F118" s="43">
        <v>1</v>
      </c>
      <c r="G118" s="44">
        <v>1</v>
      </c>
      <c r="H118" s="43">
        <f t="shared" si="10"/>
        <v>1</v>
      </c>
      <c r="I118" s="45">
        <f t="shared" si="11"/>
        <v>0.18124999999999999</v>
      </c>
    </row>
    <row r="119" spans="1:9" ht="16.5" customHeight="1" thickBot="1">
      <c r="A119" s="53"/>
      <c r="B119" s="31" t="s">
        <v>77</v>
      </c>
      <c r="C119" s="32" t="s">
        <v>78</v>
      </c>
      <c r="D119" s="33">
        <v>2.35</v>
      </c>
      <c r="E119" s="39">
        <f t="shared" si="12"/>
        <v>0.19583333333333333</v>
      </c>
      <c r="F119" s="43">
        <v>1</v>
      </c>
      <c r="G119" s="44">
        <v>1</v>
      </c>
      <c r="H119" s="43">
        <f t="shared" si="10"/>
        <v>1</v>
      </c>
      <c r="I119" s="45">
        <f t="shared" si="11"/>
        <v>0.19583333333333333</v>
      </c>
    </row>
    <row r="120" spans="1:9" ht="16.5" customHeight="1">
      <c r="A120" s="53"/>
      <c r="B120" s="25" t="s">
        <v>79</v>
      </c>
      <c r="C120" s="26" t="s">
        <v>80</v>
      </c>
      <c r="D120" s="27">
        <v>2.15</v>
      </c>
      <c r="E120" s="37">
        <f t="shared" si="12"/>
        <v>0.17916666666666667</v>
      </c>
      <c r="F120" s="43">
        <v>1</v>
      </c>
      <c r="G120" s="44">
        <v>1</v>
      </c>
      <c r="H120" s="43">
        <f t="shared" si="10"/>
        <v>1</v>
      </c>
      <c r="I120" s="45">
        <f t="shared" si="11"/>
        <v>0.17916666666666667</v>
      </c>
    </row>
    <row r="121" spans="1:9" ht="16.5" customHeight="1">
      <c r="A121" s="53"/>
      <c r="B121" s="28" t="s">
        <v>81</v>
      </c>
      <c r="C121" s="29" t="s">
        <v>82</v>
      </c>
      <c r="D121" s="30">
        <v>2.35</v>
      </c>
      <c r="E121" s="38">
        <f t="shared" si="12"/>
        <v>0.19583333333333333</v>
      </c>
      <c r="F121" s="43">
        <v>1</v>
      </c>
      <c r="G121" s="44">
        <v>1</v>
      </c>
      <c r="H121" s="43">
        <f t="shared" si="10"/>
        <v>1</v>
      </c>
      <c r="I121" s="45">
        <f t="shared" si="11"/>
        <v>0.19583333333333333</v>
      </c>
    </row>
    <row r="122" spans="1:9" ht="16.5" customHeight="1">
      <c r="A122" s="53"/>
      <c r="B122" s="28" t="s">
        <v>83</v>
      </c>
      <c r="C122" s="29" t="s">
        <v>84</v>
      </c>
      <c r="D122" s="30">
        <v>2.4750000000000001</v>
      </c>
      <c r="E122" s="38">
        <f t="shared" si="12"/>
        <v>0.20625000000000002</v>
      </c>
      <c r="F122" s="43">
        <v>1</v>
      </c>
      <c r="G122" s="44">
        <v>1</v>
      </c>
      <c r="H122" s="43">
        <f t="shared" si="10"/>
        <v>1</v>
      </c>
      <c r="I122" s="45">
        <f t="shared" si="11"/>
        <v>0.20625000000000002</v>
      </c>
    </row>
    <row r="123" spans="1:9" ht="16.5" customHeight="1" thickBot="1">
      <c r="A123" s="53"/>
      <c r="B123" s="31" t="s">
        <v>85</v>
      </c>
      <c r="C123" s="32" t="s">
        <v>86</v>
      </c>
      <c r="D123" s="33">
        <v>2.6749999999999998</v>
      </c>
      <c r="E123" s="39">
        <f t="shared" si="12"/>
        <v>0.22291666666666665</v>
      </c>
      <c r="F123" s="43">
        <v>1</v>
      </c>
      <c r="G123" s="44">
        <v>1</v>
      </c>
      <c r="H123" s="43">
        <f t="shared" si="10"/>
        <v>1</v>
      </c>
      <c r="I123" s="45">
        <f t="shared" si="11"/>
        <v>0.22291666666666665</v>
      </c>
    </row>
    <row r="124" spans="1:9" ht="16.5" customHeight="1">
      <c r="A124" s="53"/>
      <c r="B124" s="25" t="s">
        <v>87</v>
      </c>
      <c r="C124" s="26" t="s">
        <v>88</v>
      </c>
      <c r="D124" s="27">
        <v>2.4500000000000002</v>
      </c>
      <c r="E124" s="37">
        <f t="shared" si="12"/>
        <v>0.20416666666666669</v>
      </c>
      <c r="F124" s="43">
        <v>1</v>
      </c>
      <c r="G124" s="44">
        <v>1</v>
      </c>
      <c r="H124" s="43">
        <f t="shared" si="10"/>
        <v>1</v>
      </c>
      <c r="I124" s="45">
        <f t="shared" si="11"/>
        <v>0.20416666666666669</v>
      </c>
    </row>
    <row r="125" spans="1:9" ht="16.5" customHeight="1">
      <c r="A125" s="53"/>
      <c r="B125" s="28" t="s">
        <v>89</v>
      </c>
      <c r="C125" s="29" t="s">
        <v>90</v>
      </c>
      <c r="D125" s="30">
        <v>2.65</v>
      </c>
      <c r="E125" s="38">
        <f t="shared" si="12"/>
        <v>0.22083333333333333</v>
      </c>
      <c r="F125" s="43">
        <v>1</v>
      </c>
      <c r="G125" s="44">
        <v>1</v>
      </c>
      <c r="H125" s="43">
        <f t="shared" si="10"/>
        <v>1</v>
      </c>
      <c r="I125" s="45">
        <f t="shared" si="11"/>
        <v>0.22083333333333333</v>
      </c>
    </row>
    <row r="126" spans="1:9" ht="16.5" customHeight="1">
      <c r="A126" s="53"/>
      <c r="B126" s="28" t="s">
        <v>91</v>
      </c>
      <c r="C126" s="29" t="s">
        <v>92</v>
      </c>
      <c r="D126" s="30">
        <v>2.75</v>
      </c>
      <c r="E126" s="38">
        <f t="shared" si="12"/>
        <v>0.22916666666666666</v>
      </c>
      <c r="F126" s="43">
        <v>1</v>
      </c>
      <c r="G126" s="44">
        <v>1</v>
      </c>
      <c r="H126" s="43">
        <f t="shared" si="10"/>
        <v>1</v>
      </c>
      <c r="I126" s="45">
        <f t="shared" si="11"/>
        <v>0.22916666666666666</v>
      </c>
    </row>
    <row r="127" spans="1:9" ht="16.5" customHeight="1" thickBot="1">
      <c r="A127" s="53"/>
      <c r="B127" s="31" t="s">
        <v>93</v>
      </c>
      <c r="C127" s="32" t="s">
        <v>94</v>
      </c>
      <c r="D127" s="33">
        <v>3</v>
      </c>
      <c r="E127" s="39">
        <f t="shared" si="12"/>
        <v>0.25</v>
      </c>
      <c r="F127" s="43">
        <v>1</v>
      </c>
      <c r="G127" s="44">
        <v>1</v>
      </c>
      <c r="H127" s="43">
        <f t="shared" si="10"/>
        <v>1</v>
      </c>
      <c r="I127" s="45">
        <f t="shared" si="11"/>
        <v>0.25</v>
      </c>
    </row>
    <row r="128" spans="1:9" ht="16.5" customHeight="1">
      <c r="A128" s="53"/>
      <c r="B128" s="25" t="s">
        <v>95</v>
      </c>
      <c r="C128" s="26" t="s">
        <v>96</v>
      </c>
      <c r="D128" s="27">
        <v>2.6</v>
      </c>
      <c r="E128" s="37">
        <f t="shared" si="12"/>
        <v>0.21666666666666667</v>
      </c>
      <c r="F128" s="43">
        <v>1</v>
      </c>
      <c r="G128" s="44">
        <v>1</v>
      </c>
      <c r="H128" s="43">
        <f t="shared" si="10"/>
        <v>1</v>
      </c>
      <c r="I128" s="45">
        <f t="shared" si="11"/>
        <v>0.21666666666666667</v>
      </c>
    </row>
    <row r="129" spans="1:9" ht="16.5" customHeight="1">
      <c r="A129" s="53"/>
      <c r="B129" s="28" t="s">
        <v>97</v>
      </c>
      <c r="C129" s="29" t="s">
        <v>98</v>
      </c>
      <c r="D129" s="30">
        <v>2.8</v>
      </c>
      <c r="E129" s="38">
        <f t="shared" si="12"/>
        <v>0.23333333333333331</v>
      </c>
      <c r="F129" s="43">
        <v>1</v>
      </c>
      <c r="G129" s="44">
        <v>1</v>
      </c>
      <c r="H129" s="43">
        <f t="shared" si="10"/>
        <v>1</v>
      </c>
      <c r="I129" s="45">
        <f t="shared" si="11"/>
        <v>0.23333333333333331</v>
      </c>
    </row>
    <row r="130" spans="1:9" ht="16.5" customHeight="1">
      <c r="A130" s="53"/>
      <c r="B130" s="28" t="s">
        <v>99</v>
      </c>
      <c r="C130" s="29" t="s">
        <v>100</v>
      </c>
      <c r="D130" s="30">
        <v>2.85</v>
      </c>
      <c r="E130" s="38">
        <f t="shared" si="12"/>
        <v>0.23750000000000002</v>
      </c>
      <c r="F130" s="43">
        <v>1</v>
      </c>
      <c r="G130" s="44">
        <v>1</v>
      </c>
      <c r="H130" s="43">
        <f t="shared" si="10"/>
        <v>1</v>
      </c>
      <c r="I130" s="45">
        <f t="shared" si="11"/>
        <v>0.23750000000000002</v>
      </c>
    </row>
    <row r="131" spans="1:9" ht="16.5" customHeight="1" thickBot="1">
      <c r="A131" s="53"/>
      <c r="B131" s="2" t="s">
        <v>101</v>
      </c>
      <c r="C131" s="6" t="s">
        <v>102</v>
      </c>
      <c r="D131" s="21"/>
      <c r="E131" s="39">
        <f t="shared" si="12"/>
        <v>0</v>
      </c>
      <c r="F131" s="43">
        <v>1</v>
      </c>
      <c r="G131" s="44">
        <v>1</v>
      </c>
      <c r="H131" s="43">
        <f t="shared" si="10"/>
        <v>1</v>
      </c>
      <c r="I131" s="45">
        <f t="shared" si="11"/>
        <v>0</v>
      </c>
    </row>
    <row r="132" spans="1:9" ht="15.75" customHeight="1">
      <c r="A132" s="49" t="s">
        <v>223</v>
      </c>
      <c r="B132" s="19" t="s">
        <v>147</v>
      </c>
      <c r="C132" s="10" t="s">
        <v>148</v>
      </c>
      <c r="D132" s="11">
        <v>1.25</v>
      </c>
      <c r="E132" s="37">
        <f t="shared" si="6"/>
        <v>0.10416666666666667</v>
      </c>
      <c r="F132" s="43">
        <v>1</v>
      </c>
      <c r="G132" s="44">
        <v>1</v>
      </c>
      <c r="H132" s="43">
        <f t="shared" si="10"/>
        <v>1</v>
      </c>
      <c r="I132" s="45">
        <f t="shared" si="11"/>
        <v>0.10416666666666667</v>
      </c>
    </row>
    <row r="133" spans="1:9" ht="15.75" customHeight="1">
      <c r="A133" s="50"/>
      <c r="B133" s="4" t="s">
        <v>149</v>
      </c>
      <c r="C133" s="5" t="s">
        <v>150</v>
      </c>
      <c r="D133" s="1">
        <v>1.5</v>
      </c>
      <c r="E133" s="38">
        <f t="shared" si="6"/>
        <v>0.125</v>
      </c>
      <c r="F133" s="43">
        <v>1</v>
      </c>
      <c r="G133" s="44">
        <v>1</v>
      </c>
      <c r="H133" s="43">
        <f t="shared" si="10"/>
        <v>1</v>
      </c>
      <c r="I133" s="45">
        <f t="shared" si="11"/>
        <v>0.125</v>
      </c>
    </row>
    <row r="134" spans="1:9" ht="15.75" customHeight="1" thickBot="1">
      <c r="A134" s="51"/>
      <c r="B134" s="2" t="s">
        <v>151</v>
      </c>
      <c r="C134" s="6" t="s">
        <v>152</v>
      </c>
      <c r="D134" s="3">
        <v>1.7</v>
      </c>
      <c r="E134" s="39">
        <f t="shared" si="6"/>
        <v>0.14166666666666666</v>
      </c>
      <c r="F134" s="43">
        <v>1</v>
      </c>
      <c r="G134" s="44">
        <v>1</v>
      </c>
      <c r="H134" s="43">
        <f t="shared" si="10"/>
        <v>1</v>
      </c>
      <c r="I134" s="45">
        <f t="shared" si="11"/>
        <v>0.14166666666666666</v>
      </c>
    </row>
    <row r="135" spans="1:9" ht="15.75" customHeight="1">
      <c r="A135" s="49" t="s">
        <v>222</v>
      </c>
      <c r="B135" s="19" t="s">
        <v>141</v>
      </c>
      <c r="C135" s="10" t="s">
        <v>142</v>
      </c>
      <c r="D135" s="41">
        <v>1.65</v>
      </c>
      <c r="E135" s="37">
        <f t="shared" si="6"/>
        <v>0.13749999999999998</v>
      </c>
      <c r="F135" s="43">
        <v>1</v>
      </c>
      <c r="G135" s="44">
        <v>1</v>
      </c>
      <c r="H135" s="43">
        <f t="shared" si="10"/>
        <v>1</v>
      </c>
      <c r="I135" s="45">
        <f t="shared" si="11"/>
        <v>0.13749999999999998</v>
      </c>
    </row>
    <row r="136" spans="1:9" ht="15.75">
      <c r="A136" s="50"/>
      <c r="B136" s="4" t="s">
        <v>143</v>
      </c>
      <c r="C136" s="5" t="s">
        <v>144</v>
      </c>
      <c r="D136" s="42">
        <v>2</v>
      </c>
      <c r="E136" s="38">
        <f t="shared" si="6"/>
        <v>0.16666666666666666</v>
      </c>
      <c r="F136" s="43">
        <v>1</v>
      </c>
      <c r="G136" s="44">
        <v>1</v>
      </c>
      <c r="H136" s="43">
        <f t="shared" si="10"/>
        <v>1</v>
      </c>
      <c r="I136" s="45">
        <f t="shared" si="11"/>
        <v>0.16666666666666666</v>
      </c>
    </row>
    <row r="137" spans="1:9" ht="16.5" thickBot="1">
      <c r="A137" s="51"/>
      <c r="B137" s="2" t="s">
        <v>145</v>
      </c>
      <c r="C137" s="6" t="s">
        <v>146</v>
      </c>
      <c r="D137" s="40">
        <v>2.25</v>
      </c>
      <c r="E137" s="39">
        <f t="shared" si="6"/>
        <v>0.1875</v>
      </c>
      <c r="F137" s="43">
        <v>1</v>
      </c>
      <c r="G137" s="44">
        <v>1</v>
      </c>
      <c r="H137" s="43">
        <f t="shared" si="10"/>
        <v>1</v>
      </c>
      <c r="I137" s="45">
        <f t="shared" si="11"/>
        <v>0.1875</v>
      </c>
    </row>
    <row r="138" spans="1:9" ht="15.75" customHeight="1">
      <c r="A138" s="49" t="s">
        <v>219</v>
      </c>
      <c r="B138" s="19" t="s">
        <v>153</v>
      </c>
      <c r="C138" s="10" t="s">
        <v>114</v>
      </c>
      <c r="D138" s="11"/>
      <c r="E138" s="37">
        <f t="shared" si="6"/>
        <v>0</v>
      </c>
      <c r="F138" s="43">
        <v>1</v>
      </c>
      <c r="G138" s="44">
        <v>1</v>
      </c>
      <c r="H138" s="43">
        <f t="shared" ref="H138:H163" si="13">G138*F138</f>
        <v>1</v>
      </c>
      <c r="I138" s="45">
        <f t="shared" ref="I138:I163" si="14">H138*E138</f>
        <v>0</v>
      </c>
    </row>
    <row r="139" spans="1:9" ht="15.75" customHeight="1">
      <c r="A139" s="50"/>
      <c r="B139" s="4" t="s">
        <v>155</v>
      </c>
      <c r="C139" s="5" t="s">
        <v>156</v>
      </c>
      <c r="D139" s="1">
        <v>0.65</v>
      </c>
      <c r="E139" s="38">
        <f t="shared" si="6"/>
        <v>5.4166666666666669E-2</v>
      </c>
      <c r="F139" s="43">
        <v>1</v>
      </c>
      <c r="G139" s="44">
        <v>1</v>
      </c>
      <c r="H139" s="43">
        <f t="shared" si="13"/>
        <v>1</v>
      </c>
      <c r="I139" s="45">
        <f t="shared" si="14"/>
        <v>5.4166666666666669E-2</v>
      </c>
    </row>
    <row r="140" spans="1:9" ht="15.75" customHeight="1">
      <c r="A140" s="50"/>
      <c r="B140" s="4" t="s">
        <v>159</v>
      </c>
      <c r="C140" s="5" t="s">
        <v>160</v>
      </c>
      <c r="D140" s="1">
        <v>0.75</v>
      </c>
      <c r="E140" s="38">
        <f t="shared" si="6"/>
        <v>6.25E-2</v>
      </c>
      <c r="F140" s="43">
        <v>1</v>
      </c>
      <c r="G140" s="44">
        <v>1</v>
      </c>
      <c r="H140" s="43">
        <f t="shared" si="13"/>
        <v>1</v>
      </c>
      <c r="I140" s="45">
        <f t="shared" si="14"/>
        <v>6.25E-2</v>
      </c>
    </row>
    <row r="141" spans="1:9" ht="15.75" customHeight="1">
      <c r="A141" s="50"/>
      <c r="B141" s="4" t="s">
        <v>163</v>
      </c>
      <c r="C141" s="5" t="s">
        <v>116</v>
      </c>
      <c r="D141" s="1">
        <v>0.75</v>
      </c>
      <c r="E141" s="38">
        <f t="shared" si="6"/>
        <v>6.25E-2</v>
      </c>
      <c r="F141" s="43">
        <v>1</v>
      </c>
      <c r="G141" s="44">
        <v>1</v>
      </c>
      <c r="H141" s="43">
        <f t="shared" si="13"/>
        <v>1</v>
      </c>
      <c r="I141" s="45">
        <f t="shared" si="14"/>
        <v>6.25E-2</v>
      </c>
    </row>
    <row r="142" spans="1:9" ht="15.75" customHeight="1">
      <c r="A142" s="50"/>
      <c r="B142" s="4" t="s">
        <v>165</v>
      </c>
      <c r="C142" s="5" t="s">
        <v>110</v>
      </c>
      <c r="D142" s="1">
        <v>0.8</v>
      </c>
      <c r="E142" s="38">
        <f t="shared" si="6"/>
        <v>6.6666666666666666E-2</v>
      </c>
      <c r="F142" s="43">
        <v>1</v>
      </c>
      <c r="G142" s="44">
        <v>1</v>
      </c>
      <c r="H142" s="43">
        <f t="shared" si="13"/>
        <v>1</v>
      </c>
      <c r="I142" s="45">
        <f t="shared" si="14"/>
        <v>6.6666666666666666E-2</v>
      </c>
    </row>
    <row r="143" spans="1:9" ht="15.75" customHeight="1">
      <c r="A143" s="50"/>
      <c r="B143" s="4" t="s">
        <v>167</v>
      </c>
      <c r="C143" s="5" t="s">
        <v>130</v>
      </c>
      <c r="D143" s="1">
        <v>0.85</v>
      </c>
      <c r="E143" s="38">
        <f t="shared" si="6"/>
        <v>7.0833333333333331E-2</v>
      </c>
      <c r="F143" s="43">
        <v>1</v>
      </c>
      <c r="G143" s="44">
        <v>1</v>
      </c>
      <c r="H143" s="43">
        <f t="shared" si="13"/>
        <v>1</v>
      </c>
      <c r="I143" s="45">
        <f t="shared" si="14"/>
        <v>7.0833333333333331E-2</v>
      </c>
    </row>
    <row r="144" spans="1:9" ht="15.75" customHeight="1">
      <c r="A144" s="50"/>
      <c r="B144" s="4" t="s">
        <v>169</v>
      </c>
      <c r="C144" s="5" t="s">
        <v>118</v>
      </c>
      <c r="D144" s="1">
        <v>0.85</v>
      </c>
      <c r="E144" s="38">
        <f t="shared" si="6"/>
        <v>7.0833333333333331E-2</v>
      </c>
      <c r="F144" s="43">
        <v>1</v>
      </c>
      <c r="G144" s="44">
        <v>1</v>
      </c>
      <c r="H144" s="43">
        <f t="shared" si="13"/>
        <v>1</v>
      </c>
      <c r="I144" s="45">
        <f t="shared" si="14"/>
        <v>7.0833333333333331E-2</v>
      </c>
    </row>
    <row r="145" spans="1:9" ht="15.75" customHeight="1">
      <c r="A145" s="50"/>
      <c r="B145" s="4" t="s">
        <v>171</v>
      </c>
      <c r="C145" s="5" t="s">
        <v>172</v>
      </c>
      <c r="D145" s="1">
        <v>0.95</v>
      </c>
      <c r="E145" s="38">
        <f t="shared" si="6"/>
        <v>7.9166666666666663E-2</v>
      </c>
      <c r="F145" s="43">
        <v>1</v>
      </c>
      <c r="G145" s="44">
        <v>1</v>
      </c>
      <c r="H145" s="43">
        <f t="shared" si="13"/>
        <v>1</v>
      </c>
      <c r="I145" s="45">
        <f t="shared" si="14"/>
        <v>7.9166666666666663E-2</v>
      </c>
    </row>
    <row r="146" spans="1:9" ht="15.75" customHeight="1">
      <c r="A146" s="50"/>
      <c r="B146" s="4" t="s">
        <v>175</v>
      </c>
      <c r="C146" s="5" t="s">
        <v>132</v>
      </c>
      <c r="D146" s="1">
        <v>0.95</v>
      </c>
      <c r="E146" s="38">
        <f t="shared" si="6"/>
        <v>7.9166666666666663E-2</v>
      </c>
      <c r="F146" s="43">
        <v>1</v>
      </c>
      <c r="G146" s="44">
        <v>1</v>
      </c>
      <c r="H146" s="43">
        <f t="shared" si="13"/>
        <v>1</v>
      </c>
      <c r="I146" s="45">
        <f t="shared" si="14"/>
        <v>7.9166666666666663E-2</v>
      </c>
    </row>
    <row r="147" spans="1:9" ht="15.75" customHeight="1">
      <c r="A147" s="50"/>
      <c r="B147" s="4" t="s">
        <v>177</v>
      </c>
      <c r="C147" s="5" t="s">
        <v>140</v>
      </c>
      <c r="D147" s="1">
        <v>1.05</v>
      </c>
      <c r="E147" s="38">
        <f t="shared" si="6"/>
        <v>8.7500000000000008E-2</v>
      </c>
      <c r="F147" s="43">
        <v>1</v>
      </c>
      <c r="G147" s="44">
        <v>1</v>
      </c>
      <c r="H147" s="43">
        <f t="shared" si="13"/>
        <v>1</v>
      </c>
      <c r="I147" s="45">
        <f t="shared" si="14"/>
        <v>8.7500000000000008E-2</v>
      </c>
    </row>
    <row r="148" spans="1:9" ht="15.75" customHeight="1">
      <c r="A148" s="50"/>
      <c r="B148" s="4" t="s">
        <v>179</v>
      </c>
      <c r="C148" s="5" t="s">
        <v>180</v>
      </c>
      <c r="D148" s="1">
        <v>1.05</v>
      </c>
      <c r="E148" s="38">
        <f t="shared" si="6"/>
        <v>8.7500000000000008E-2</v>
      </c>
      <c r="F148" s="43">
        <v>1</v>
      </c>
      <c r="G148" s="44">
        <v>1</v>
      </c>
      <c r="H148" s="43">
        <f t="shared" si="13"/>
        <v>1</v>
      </c>
      <c r="I148" s="45">
        <f t="shared" si="14"/>
        <v>8.7500000000000008E-2</v>
      </c>
    </row>
    <row r="149" spans="1:9" ht="15.75" customHeight="1">
      <c r="A149" s="50"/>
      <c r="B149" s="22" t="s">
        <v>183</v>
      </c>
      <c r="C149" s="34" t="s">
        <v>184</v>
      </c>
      <c r="D149" s="23">
        <v>1.1499999999999999</v>
      </c>
      <c r="E149" s="38">
        <f t="shared" si="6"/>
        <v>9.5833333333333326E-2</v>
      </c>
      <c r="F149" s="43">
        <v>1</v>
      </c>
      <c r="G149" s="44">
        <v>1</v>
      </c>
      <c r="H149" s="43">
        <f t="shared" si="13"/>
        <v>1</v>
      </c>
      <c r="I149" s="45">
        <f t="shared" si="14"/>
        <v>9.5833333333333326E-2</v>
      </c>
    </row>
    <row r="150" spans="1:9" ht="15.75" customHeight="1" thickBot="1">
      <c r="A150" s="51"/>
      <c r="B150" s="2" t="s">
        <v>187</v>
      </c>
      <c r="C150" s="6" t="s">
        <v>188</v>
      </c>
      <c r="D150" s="3"/>
      <c r="E150" s="39">
        <f t="shared" si="6"/>
        <v>0</v>
      </c>
      <c r="F150" s="43">
        <v>1</v>
      </c>
      <c r="G150" s="44">
        <v>1</v>
      </c>
      <c r="H150" s="43">
        <f t="shared" si="13"/>
        <v>1</v>
      </c>
      <c r="I150" s="45">
        <f t="shared" si="14"/>
        <v>0</v>
      </c>
    </row>
    <row r="151" spans="1:9" ht="15.75">
      <c r="A151" s="49" t="s">
        <v>220</v>
      </c>
      <c r="B151" s="19" t="s">
        <v>154</v>
      </c>
      <c r="C151" s="10" t="s">
        <v>68</v>
      </c>
      <c r="D151" s="41">
        <v>0.85</v>
      </c>
      <c r="E151" s="37">
        <f t="shared" si="6"/>
        <v>7.0833333333333331E-2</v>
      </c>
      <c r="F151" s="43">
        <v>1</v>
      </c>
      <c r="G151" s="44">
        <v>1</v>
      </c>
      <c r="H151" s="43">
        <f t="shared" si="13"/>
        <v>1</v>
      </c>
      <c r="I151" s="45">
        <f t="shared" si="14"/>
        <v>7.0833333333333331E-2</v>
      </c>
    </row>
    <row r="152" spans="1:9" ht="15.75">
      <c r="A152" s="50"/>
      <c r="B152" s="4" t="s">
        <v>157</v>
      </c>
      <c r="C152" s="5" t="s">
        <v>158</v>
      </c>
      <c r="D152" s="42">
        <v>0.9</v>
      </c>
      <c r="E152" s="38">
        <f t="shared" si="6"/>
        <v>7.4999999999999997E-2</v>
      </c>
      <c r="F152" s="43">
        <v>1</v>
      </c>
      <c r="G152" s="44">
        <v>1</v>
      </c>
      <c r="H152" s="43">
        <f t="shared" si="13"/>
        <v>1</v>
      </c>
      <c r="I152" s="45">
        <f t="shared" si="14"/>
        <v>7.4999999999999997E-2</v>
      </c>
    </row>
    <row r="153" spans="1:9" ht="15.75">
      <c r="A153" s="50"/>
      <c r="B153" s="4" t="s">
        <v>161</v>
      </c>
      <c r="C153" s="5" t="s">
        <v>162</v>
      </c>
      <c r="D153" s="42">
        <v>1</v>
      </c>
      <c r="E153" s="38">
        <f t="shared" ref="E153:E163" si="15">D153/12</f>
        <v>8.3333333333333329E-2</v>
      </c>
      <c r="F153" s="43">
        <v>1</v>
      </c>
      <c r="G153" s="44">
        <v>1</v>
      </c>
      <c r="H153" s="43">
        <f t="shared" si="13"/>
        <v>1</v>
      </c>
      <c r="I153" s="45">
        <f t="shared" si="14"/>
        <v>8.3333333333333329E-2</v>
      </c>
    </row>
    <row r="154" spans="1:9" ht="15.75">
      <c r="A154" s="50"/>
      <c r="B154" s="4" t="s">
        <v>164</v>
      </c>
      <c r="C154" s="5" t="s">
        <v>70</v>
      </c>
      <c r="D154" s="42">
        <v>1</v>
      </c>
      <c r="E154" s="38">
        <f t="shared" si="15"/>
        <v>8.3333333333333329E-2</v>
      </c>
      <c r="F154" s="43">
        <v>1</v>
      </c>
      <c r="G154" s="44">
        <v>1</v>
      </c>
      <c r="H154" s="43">
        <f t="shared" si="13"/>
        <v>1</v>
      </c>
      <c r="I154" s="45">
        <f t="shared" si="14"/>
        <v>8.3333333333333329E-2</v>
      </c>
    </row>
    <row r="155" spans="1:9" ht="15.75">
      <c r="A155" s="50"/>
      <c r="B155" s="4" t="s">
        <v>166</v>
      </c>
      <c r="C155" s="5" t="s">
        <v>64</v>
      </c>
      <c r="D155" s="42">
        <v>1.1000000000000001</v>
      </c>
      <c r="E155" s="38">
        <f t="shared" si="15"/>
        <v>9.1666666666666674E-2</v>
      </c>
      <c r="F155" s="43">
        <v>1</v>
      </c>
      <c r="G155" s="44">
        <v>1</v>
      </c>
      <c r="H155" s="43">
        <f t="shared" si="13"/>
        <v>1</v>
      </c>
      <c r="I155" s="45">
        <f t="shared" si="14"/>
        <v>9.1666666666666674E-2</v>
      </c>
    </row>
    <row r="156" spans="1:9" ht="15.75">
      <c r="A156" s="50"/>
      <c r="B156" s="4" t="s">
        <v>168</v>
      </c>
      <c r="C156" s="5" t="s">
        <v>84</v>
      </c>
      <c r="D156" s="42">
        <v>1.1499999999999999</v>
      </c>
      <c r="E156" s="38">
        <f t="shared" si="15"/>
        <v>9.5833333333333326E-2</v>
      </c>
      <c r="F156" s="43">
        <v>1</v>
      </c>
      <c r="G156" s="44">
        <v>1</v>
      </c>
      <c r="H156" s="43">
        <f t="shared" si="13"/>
        <v>1</v>
      </c>
      <c r="I156" s="45">
        <f t="shared" si="14"/>
        <v>9.5833333333333326E-2</v>
      </c>
    </row>
    <row r="157" spans="1:9" ht="15.75">
      <c r="A157" s="50"/>
      <c r="B157" s="4" t="s">
        <v>170</v>
      </c>
      <c r="C157" s="5" t="s">
        <v>72</v>
      </c>
      <c r="D157" s="42">
        <v>1.1499999999999999</v>
      </c>
      <c r="E157" s="38">
        <f t="shared" si="15"/>
        <v>9.5833333333333326E-2</v>
      </c>
      <c r="F157" s="43">
        <v>1</v>
      </c>
      <c r="G157" s="44">
        <v>1</v>
      </c>
      <c r="H157" s="43">
        <f t="shared" si="13"/>
        <v>1</v>
      </c>
      <c r="I157" s="45">
        <f t="shared" si="14"/>
        <v>9.5833333333333326E-2</v>
      </c>
    </row>
    <row r="158" spans="1:9" ht="15.75">
      <c r="A158" s="50"/>
      <c r="B158" s="4" t="s">
        <v>173</v>
      </c>
      <c r="C158" s="5" t="s">
        <v>174</v>
      </c>
      <c r="D158" s="42">
        <v>1.25</v>
      </c>
      <c r="E158" s="38">
        <f t="shared" si="15"/>
        <v>0.10416666666666667</v>
      </c>
      <c r="F158" s="43">
        <v>1</v>
      </c>
      <c r="G158" s="44">
        <v>1</v>
      </c>
      <c r="H158" s="43">
        <f t="shared" si="13"/>
        <v>1</v>
      </c>
      <c r="I158" s="45">
        <f t="shared" si="14"/>
        <v>0.10416666666666667</v>
      </c>
    </row>
    <row r="159" spans="1:9" ht="15.75">
      <c r="A159" s="50"/>
      <c r="B159" s="4" t="s">
        <v>176</v>
      </c>
      <c r="C159" s="5" t="s">
        <v>86</v>
      </c>
      <c r="D159" s="42">
        <v>1.25</v>
      </c>
      <c r="E159" s="38">
        <f t="shared" si="15"/>
        <v>0.10416666666666667</v>
      </c>
      <c r="F159" s="43">
        <v>1</v>
      </c>
      <c r="G159" s="44">
        <v>1</v>
      </c>
      <c r="H159" s="43">
        <f t="shared" si="13"/>
        <v>1</v>
      </c>
      <c r="I159" s="45">
        <f t="shared" si="14"/>
        <v>0.10416666666666667</v>
      </c>
    </row>
    <row r="160" spans="1:9" ht="15.75">
      <c r="A160" s="50"/>
      <c r="B160" s="4" t="s">
        <v>178</v>
      </c>
      <c r="C160" s="5" t="s">
        <v>94</v>
      </c>
      <c r="D160" s="42">
        <v>1.4</v>
      </c>
      <c r="E160" s="38">
        <f t="shared" si="15"/>
        <v>0.11666666666666665</v>
      </c>
      <c r="F160" s="43">
        <v>1</v>
      </c>
      <c r="G160" s="44">
        <v>1</v>
      </c>
      <c r="H160" s="43">
        <f t="shared" si="13"/>
        <v>1</v>
      </c>
      <c r="I160" s="45">
        <f t="shared" si="14"/>
        <v>0.11666666666666665</v>
      </c>
    </row>
    <row r="161" spans="1:9" ht="15.75">
      <c r="A161" s="50"/>
      <c r="B161" s="4" t="s">
        <v>181</v>
      </c>
      <c r="C161" s="5" t="s">
        <v>182</v>
      </c>
      <c r="D161" s="42">
        <v>1.4</v>
      </c>
      <c r="E161" s="38">
        <f t="shared" si="15"/>
        <v>0.11666666666666665</v>
      </c>
      <c r="F161" s="43">
        <v>1</v>
      </c>
      <c r="G161" s="44">
        <v>1</v>
      </c>
      <c r="H161" s="43">
        <f t="shared" si="13"/>
        <v>1</v>
      </c>
      <c r="I161" s="45">
        <f t="shared" si="14"/>
        <v>0.11666666666666665</v>
      </c>
    </row>
    <row r="162" spans="1:9" ht="15.75">
      <c r="A162" s="50"/>
      <c r="B162" s="22" t="s">
        <v>185</v>
      </c>
      <c r="C162" s="34" t="s">
        <v>186</v>
      </c>
      <c r="D162" s="24">
        <v>1.55</v>
      </c>
      <c r="E162" s="38">
        <f t="shared" si="15"/>
        <v>0.12916666666666668</v>
      </c>
      <c r="F162" s="43">
        <v>1</v>
      </c>
      <c r="G162" s="44">
        <v>1</v>
      </c>
      <c r="H162" s="43">
        <f t="shared" si="13"/>
        <v>1</v>
      </c>
      <c r="I162" s="45">
        <f t="shared" si="14"/>
        <v>0.12916666666666668</v>
      </c>
    </row>
    <row r="163" spans="1:9" ht="16.5" thickBot="1">
      <c r="A163" s="51"/>
      <c r="B163" s="2" t="s">
        <v>189</v>
      </c>
      <c r="C163" s="6" t="s">
        <v>190</v>
      </c>
      <c r="D163" s="40"/>
      <c r="E163" s="39">
        <f t="shared" si="15"/>
        <v>0</v>
      </c>
      <c r="F163" s="43">
        <v>1</v>
      </c>
      <c r="G163" s="44">
        <v>1</v>
      </c>
      <c r="H163" s="43">
        <f t="shared" si="13"/>
        <v>1</v>
      </c>
      <c r="I163" s="45">
        <f t="shared" si="14"/>
        <v>0</v>
      </c>
    </row>
  </sheetData>
  <mergeCells count="19">
    <mergeCell ref="A3:A5"/>
    <mergeCell ref="A43:A49"/>
    <mergeCell ref="A23:A25"/>
    <mergeCell ref="A26:A28"/>
    <mergeCell ref="A29:A35"/>
    <mergeCell ref="A36:A42"/>
    <mergeCell ref="A12:A14"/>
    <mergeCell ref="A9:A11"/>
    <mergeCell ref="A6:A8"/>
    <mergeCell ref="A15:A18"/>
    <mergeCell ref="A19:A22"/>
    <mergeCell ref="A50:A68"/>
    <mergeCell ref="A135:A137"/>
    <mergeCell ref="A132:A134"/>
    <mergeCell ref="A138:A150"/>
    <mergeCell ref="A151:A163"/>
    <mergeCell ref="A88:A109"/>
    <mergeCell ref="A69:A87"/>
    <mergeCell ref="A110:A1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2026-05-31T08:45:41Z</cp:lastPrinted>
  <dcterms:created xsi:type="dcterms:W3CDTF">2024-07-11T09:46:07Z</dcterms:created>
  <dcterms:modified xsi:type="dcterms:W3CDTF">2026-06-14T06:47:58Z</dcterms:modified>
</cp:coreProperties>
</file>