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All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/>
  <c r="H3"/>
  <c r="H4"/>
  <c r="H5"/>
  <c r="H6"/>
  <c r="H7"/>
  <c r="H8"/>
  <c r="H9"/>
  <c r="H10"/>
  <c r="H11"/>
  <c r="H12"/>
  <c r="H13"/>
  <c r="H14"/>
  <c r="H15"/>
  <c r="H16"/>
  <c r="H17"/>
  <c r="H18"/>
  <c r="H19"/>
  <c r="E2" l="1"/>
  <c r="I2" s="1"/>
  <c r="E3"/>
  <c r="I3" s="1"/>
  <c r="E4"/>
  <c r="I4" s="1"/>
  <c r="E5"/>
  <c r="I5" s="1"/>
  <c r="E6"/>
  <c r="I6" s="1"/>
  <c r="E7"/>
  <c r="I7" s="1"/>
  <c r="E8"/>
  <c r="I8" s="1"/>
  <c r="E9"/>
  <c r="I9" s="1"/>
  <c r="E10"/>
  <c r="I10" s="1"/>
  <c r="E11"/>
  <c r="I11" s="1"/>
  <c r="E12"/>
  <c r="I12" s="1"/>
  <c r="E13"/>
  <c r="I13" s="1"/>
  <c r="E14"/>
  <c r="I14" s="1"/>
  <c r="E15"/>
  <c r="I15" s="1"/>
  <c r="E16"/>
  <c r="I16" s="1"/>
  <c r="E17"/>
  <c r="I17" s="1"/>
  <c r="E18"/>
  <c r="I18" s="1"/>
  <c r="E19"/>
  <c r="I19" s="1"/>
</calcChain>
</file>

<file path=xl/sharedStrings.xml><?xml version="1.0" encoding="utf-8"?>
<sst xmlns="http://schemas.openxmlformats.org/spreadsheetml/2006/main" count="58" uniqueCount="58">
  <si>
    <t>Doz.</t>
  </si>
  <si>
    <t>Size In INCH</t>
  </si>
  <si>
    <t>Size In MM</t>
  </si>
  <si>
    <t>Doz. Weight</t>
  </si>
  <si>
    <t>3 x 7/8 x 1/8</t>
  </si>
  <si>
    <t>75*22*3</t>
  </si>
  <si>
    <t>4 x 7/8 x 1/8</t>
  </si>
  <si>
    <t>100*22*3</t>
  </si>
  <si>
    <t>4 x 1 x 5/32</t>
  </si>
  <si>
    <t>100*25*4</t>
  </si>
  <si>
    <t>5 x 1 x 5/32</t>
  </si>
  <si>
    <t>125*25*4</t>
  </si>
  <si>
    <t>6 x 1 x 5/32</t>
  </si>
  <si>
    <t>150*25*4</t>
  </si>
  <si>
    <t>4 x 1.1/8 x 5/32</t>
  </si>
  <si>
    <t>100*28*4</t>
  </si>
  <si>
    <t>5 x 1.1/8 x 5/32</t>
  </si>
  <si>
    <t>125*28*4</t>
  </si>
  <si>
    <t>6 x 1.1/8 x 5/32</t>
  </si>
  <si>
    <t>150*28*4</t>
  </si>
  <si>
    <t>4 x 1.1/4 x 5/32</t>
  </si>
  <si>
    <t>100*31*4</t>
  </si>
  <si>
    <t>5 x 1.1/4 x 5/32</t>
  </si>
  <si>
    <t>125*31*4</t>
  </si>
  <si>
    <t>6 x 1.1/4 x 5/32</t>
  </si>
  <si>
    <t>150*31*4</t>
  </si>
  <si>
    <t>4 x 1.1/4 x 3/16</t>
  </si>
  <si>
    <t>100*31*4.5</t>
  </si>
  <si>
    <t>5 x 1.1/4 x 3/16</t>
  </si>
  <si>
    <t>125*31*4.5</t>
  </si>
  <si>
    <t>6 x 1.1/4 x 3/16</t>
  </si>
  <si>
    <t>150*31*4.5</t>
  </si>
  <si>
    <t>4 x 1.1/2 x 3/16</t>
  </si>
  <si>
    <t>100*38*4.5</t>
  </si>
  <si>
    <t>5 x 1.1/2 x 3/16</t>
  </si>
  <si>
    <t>125*38*4.5</t>
  </si>
  <si>
    <t>6 x 1.1/2 x 3/16</t>
  </si>
  <si>
    <t>150*38*4.5</t>
  </si>
  <si>
    <t>PCS Weight</t>
  </si>
  <si>
    <t xml:space="preserve">Box / Pcs </t>
  </si>
  <si>
    <t>Box / Cartoon</t>
  </si>
  <si>
    <t>Total Pcs / Cartoon</t>
  </si>
  <si>
    <t>Total Cartoon Weight</t>
  </si>
  <si>
    <t>S.S.</t>
  </si>
  <si>
    <t>Antq.</t>
  </si>
  <si>
    <t>Side Gold</t>
  </si>
  <si>
    <t>Sartin Lacqur</t>
  </si>
  <si>
    <t>Z Black</t>
  </si>
  <si>
    <t>Gr. Black</t>
  </si>
  <si>
    <t>Matt S.S.</t>
  </si>
  <si>
    <t>Matt Antq.</t>
  </si>
  <si>
    <t>PVD Rose Gold</t>
  </si>
  <si>
    <t>PVD Gold</t>
  </si>
  <si>
    <t>PVD Black</t>
  </si>
  <si>
    <t>Rose Gold</t>
  </si>
  <si>
    <t>Clear Lacqur</t>
  </si>
  <si>
    <t>3 x 1 x 5/32</t>
  </si>
  <si>
    <t>75*25*4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</si>
</sst>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2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>
      <selection activeCell="G20" sqref="G20"/>
    </sheetView>
  </sheetViews>
  <sheetFormatPr defaultRowHeight="15"/>
  <cols>
    <col min="1" max="1" width="14.28515625" customWidth="1"/>
    <col min="2" max="2" width="17.28515625" bestFit="1" customWidth="1"/>
    <col min="3" max="3" width="15.7109375" bestFit="1" customWidth="1"/>
    <col min="4" max="4" width="11.42578125" customWidth="1"/>
    <col min="5" max="5" width="10.7109375" customWidth="1"/>
    <col min="7" max="7" width="10" customWidth="1"/>
    <col min="8" max="8" width="10.42578125" customWidth="1"/>
    <col min="9" max="9" width="11.42578125" customWidth="1"/>
    <col min="10" max="10" width="5.28515625" bestFit="1" customWidth="1"/>
    <col min="11" max="11" width="7.5703125" bestFit="1" customWidth="1"/>
    <col min="12" max="12" width="7.5703125" customWidth="1"/>
    <col min="13" max="13" width="8.7109375" bestFit="1" customWidth="1"/>
    <col min="15" max="15" width="7.5703125" customWidth="1"/>
  </cols>
  <sheetData>
    <row r="1" spans="1:22" ht="57" thickBot="1">
      <c r="A1" s="16" t="s">
        <v>0</v>
      </c>
      <c r="B1" s="16" t="s">
        <v>1</v>
      </c>
      <c r="C1" s="16" t="s">
        <v>2</v>
      </c>
      <c r="D1" s="16" t="s">
        <v>3</v>
      </c>
      <c r="E1" s="17" t="s">
        <v>38</v>
      </c>
      <c r="F1" s="17" t="s">
        <v>39</v>
      </c>
      <c r="G1" s="17" t="s">
        <v>40</v>
      </c>
      <c r="H1" s="17" t="s">
        <v>41</v>
      </c>
      <c r="I1" s="17" t="s">
        <v>42</v>
      </c>
      <c r="J1" s="17" t="s">
        <v>43</v>
      </c>
      <c r="K1" s="17" t="s">
        <v>44</v>
      </c>
      <c r="L1" s="17" t="s">
        <v>45</v>
      </c>
      <c r="M1" s="17" t="s">
        <v>46</v>
      </c>
      <c r="N1" s="17" t="s">
        <v>47</v>
      </c>
      <c r="O1" s="17" t="s">
        <v>48</v>
      </c>
      <c r="P1" s="17" t="s">
        <v>49</v>
      </c>
      <c r="Q1" s="17" t="s">
        <v>50</v>
      </c>
      <c r="R1" s="17" t="s">
        <v>51</v>
      </c>
      <c r="S1" s="17" t="s">
        <v>52</v>
      </c>
      <c r="T1" s="17" t="s">
        <v>53</v>
      </c>
      <c r="U1" s="17" t="s">
        <v>54</v>
      </c>
      <c r="V1" s="17" t="s">
        <v>55</v>
      </c>
    </row>
    <row r="2" spans="1:22" ht="15.6" customHeight="1">
      <c r="A2" s="24">
        <v>1.1499999999999999</v>
      </c>
      <c r="B2" s="7" t="s">
        <v>4</v>
      </c>
      <c r="C2" s="7" t="s">
        <v>5</v>
      </c>
      <c r="D2" s="8">
        <v>1.1499999999999999</v>
      </c>
      <c r="E2" s="18">
        <f t="shared" ref="E2:E19" si="0">D2/12</f>
        <v>9.5833333333333326E-2</v>
      </c>
      <c r="F2" s="21">
        <v>24</v>
      </c>
      <c r="G2" s="22">
        <v>16</v>
      </c>
      <c r="H2" s="21">
        <f t="shared" ref="H2:H19" si="1">G2*F2</f>
        <v>384</v>
      </c>
      <c r="I2" s="23">
        <f t="shared" ref="I2:I19" si="2">H2*E2</f>
        <v>36.799999999999997</v>
      </c>
    </row>
    <row r="3" spans="1:22" ht="15.75" customHeight="1" thickBot="1">
      <c r="A3" s="25"/>
      <c r="B3" s="4" t="s">
        <v>6</v>
      </c>
      <c r="C3" s="4" t="s">
        <v>7</v>
      </c>
      <c r="D3" s="1">
        <v>1.55</v>
      </c>
      <c r="E3" s="19">
        <f t="shared" si="0"/>
        <v>0.12916666666666668</v>
      </c>
      <c r="F3" s="21">
        <v>20</v>
      </c>
      <c r="G3" s="22">
        <v>12</v>
      </c>
      <c r="H3" s="21">
        <f t="shared" si="1"/>
        <v>240</v>
      </c>
      <c r="I3" s="23">
        <f t="shared" si="2"/>
        <v>31.000000000000004</v>
      </c>
    </row>
    <row r="4" spans="1:22" ht="15.75" customHeight="1">
      <c r="A4" s="24">
        <v>2.5</v>
      </c>
      <c r="B4" s="7" t="s">
        <v>56</v>
      </c>
      <c r="C4" s="7" t="s">
        <v>57</v>
      </c>
      <c r="D4" s="9">
        <v>1.5</v>
      </c>
      <c r="E4" s="18">
        <f t="shared" si="0"/>
        <v>0.125</v>
      </c>
      <c r="F4" s="21">
        <v>20</v>
      </c>
      <c r="G4" s="22">
        <v>16</v>
      </c>
      <c r="H4" s="21">
        <f t="shared" si="1"/>
        <v>320</v>
      </c>
      <c r="I4" s="23">
        <f t="shared" si="2"/>
        <v>40</v>
      </c>
    </row>
    <row r="5" spans="1:22" ht="15.75" customHeight="1">
      <c r="A5" s="25"/>
      <c r="B5" s="4" t="s">
        <v>8</v>
      </c>
      <c r="C5" s="4" t="s">
        <v>9</v>
      </c>
      <c r="D5" s="10">
        <v>2</v>
      </c>
      <c r="E5" s="19">
        <f t="shared" si="0"/>
        <v>0.16666666666666666</v>
      </c>
      <c r="F5" s="21">
        <v>6</v>
      </c>
      <c r="G5" s="22">
        <v>30</v>
      </c>
      <c r="H5" s="21">
        <f t="shared" si="1"/>
        <v>180</v>
      </c>
      <c r="I5" s="23">
        <f t="shared" si="2"/>
        <v>30</v>
      </c>
    </row>
    <row r="6" spans="1:22" ht="15.75" customHeight="1">
      <c r="A6" s="25"/>
      <c r="B6" s="4" t="s">
        <v>10</v>
      </c>
      <c r="C6" s="4" t="s">
        <v>11</v>
      </c>
      <c r="D6" s="10">
        <v>2.5</v>
      </c>
      <c r="E6" s="19">
        <f t="shared" si="0"/>
        <v>0.20833333333333334</v>
      </c>
      <c r="F6" s="21">
        <v>6</v>
      </c>
      <c r="G6" s="22">
        <v>21</v>
      </c>
      <c r="H6" s="21">
        <f t="shared" si="1"/>
        <v>126</v>
      </c>
      <c r="I6" s="23">
        <f t="shared" si="2"/>
        <v>26.25</v>
      </c>
    </row>
    <row r="7" spans="1:22" ht="15.75" customHeight="1" thickBot="1">
      <c r="A7" s="25"/>
      <c r="B7" s="4" t="s">
        <v>12</v>
      </c>
      <c r="C7" s="4" t="s">
        <v>13</v>
      </c>
      <c r="D7" s="10">
        <v>3</v>
      </c>
      <c r="E7" s="19">
        <f t="shared" si="0"/>
        <v>0.25</v>
      </c>
      <c r="F7" s="21">
        <v>6</v>
      </c>
      <c r="G7" s="22">
        <v>21</v>
      </c>
      <c r="H7" s="21">
        <f t="shared" si="1"/>
        <v>126</v>
      </c>
      <c r="I7" s="23">
        <f t="shared" si="2"/>
        <v>31.5</v>
      </c>
    </row>
    <row r="8" spans="1:22" ht="15.75">
      <c r="A8" s="24">
        <v>2.85</v>
      </c>
      <c r="B8" s="7" t="s">
        <v>14</v>
      </c>
      <c r="C8" s="7" t="s">
        <v>15</v>
      </c>
      <c r="D8" s="8">
        <v>2.2799999999999998</v>
      </c>
      <c r="E8" s="18">
        <f t="shared" si="0"/>
        <v>0.18999999999999997</v>
      </c>
      <c r="F8" s="21">
        <v>6</v>
      </c>
      <c r="G8" s="22">
        <v>30</v>
      </c>
      <c r="H8" s="21">
        <f t="shared" si="1"/>
        <v>180</v>
      </c>
      <c r="I8" s="23">
        <f t="shared" si="2"/>
        <v>34.199999999999996</v>
      </c>
    </row>
    <row r="9" spans="1:22" ht="15.75">
      <c r="A9" s="25"/>
      <c r="B9" s="4" t="s">
        <v>16</v>
      </c>
      <c r="C9" s="4" t="s">
        <v>17</v>
      </c>
      <c r="D9" s="1">
        <v>2.85</v>
      </c>
      <c r="E9" s="19">
        <f t="shared" si="0"/>
        <v>0.23750000000000002</v>
      </c>
      <c r="F9" s="21">
        <v>6</v>
      </c>
      <c r="G9" s="22">
        <v>21</v>
      </c>
      <c r="H9" s="21">
        <f t="shared" si="1"/>
        <v>126</v>
      </c>
      <c r="I9" s="23">
        <f t="shared" si="2"/>
        <v>29.925000000000001</v>
      </c>
    </row>
    <row r="10" spans="1:22" ht="16.5" thickBot="1">
      <c r="A10" s="26"/>
      <c r="B10" s="6" t="s">
        <v>18</v>
      </c>
      <c r="C10" s="6" t="s">
        <v>19</v>
      </c>
      <c r="D10" s="3">
        <v>3.4249999999999998</v>
      </c>
      <c r="E10" s="20">
        <f t="shared" si="0"/>
        <v>0.28541666666666665</v>
      </c>
      <c r="F10" s="21">
        <v>6</v>
      </c>
      <c r="G10" s="22">
        <v>21</v>
      </c>
      <c r="H10" s="21">
        <f t="shared" si="1"/>
        <v>126</v>
      </c>
      <c r="I10" s="23">
        <f t="shared" si="2"/>
        <v>35.962499999999999</v>
      </c>
    </row>
    <row r="11" spans="1:22" ht="15.75">
      <c r="A11" s="24">
        <v>3.2</v>
      </c>
      <c r="B11" s="12" t="s">
        <v>20</v>
      </c>
      <c r="C11" s="13" t="s">
        <v>21</v>
      </c>
      <c r="D11" s="9">
        <v>2.5499999999999998</v>
      </c>
      <c r="E11" s="18">
        <f t="shared" si="0"/>
        <v>0.21249999999999999</v>
      </c>
      <c r="F11" s="21">
        <v>6</v>
      </c>
      <c r="G11" s="22">
        <v>30</v>
      </c>
      <c r="H11" s="21">
        <f t="shared" si="1"/>
        <v>180</v>
      </c>
      <c r="I11" s="23">
        <f t="shared" si="2"/>
        <v>38.25</v>
      </c>
    </row>
    <row r="12" spans="1:22" ht="15.75">
      <c r="A12" s="25"/>
      <c r="B12" s="2" t="s">
        <v>22</v>
      </c>
      <c r="C12" s="5" t="s">
        <v>23</v>
      </c>
      <c r="D12" s="10">
        <v>3.2</v>
      </c>
      <c r="E12" s="19">
        <f t="shared" si="0"/>
        <v>0.26666666666666666</v>
      </c>
      <c r="F12" s="21">
        <v>6</v>
      </c>
      <c r="G12" s="22">
        <v>21</v>
      </c>
      <c r="H12" s="21">
        <f t="shared" si="1"/>
        <v>126</v>
      </c>
      <c r="I12" s="23">
        <f t="shared" si="2"/>
        <v>33.6</v>
      </c>
    </row>
    <row r="13" spans="1:22" ht="16.5" thickBot="1">
      <c r="A13" s="26"/>
      <c r="B13" s="14" t="s">
        <v>24</v>
      </c>
      <c r="C13" s="15" t="s">
        <v>25</v>
      </c>
      <c r="D13" s="11">
        <v>3.85</v>
      </c>
      <c r="E13" s="20">
        <f t="shared" si="0"/>
        <v>0.32083333333333336</v>
      </c>
      <c r="F13" s="21">
        <v>6</v>
      </c>
      <c r="G13" s="22">
        <v>21</v>
      </c>
      <c r="H13" s="21">
        <f t="shared" si="1"/>
        <v>126</v>
      </c>
      <c r="I13" s="23">
        <f t="shared" si="2"/>
        <v>40.425000000000004</v>
      </c>
    </row>
    <row r="14" spans="1:22" ht="15.75" customHeight="1">
      <c r="A14" s="24">
        <v>3.8</v>
      </c>
      <c r="B14" s="7" t="s">
        <v>26</v>
      </c>
      <c r="C14" s="7" t="s">
        <v>27</v>
      </c>
      <c r="D14" s="9">
        <v>3.05</v>
      </c>
      <c r="E14" s="18">
        <f t="shared" si="0"/>
        <v>0.25416666666666665</v>
      </c>
      <c r="F14" s="21">
        <v>6</v>
      </c>
      <c r="G14" s="22">
        <v>24</v>
      </c>
      <c r="H14" s="21">
        <f t="shared" si="1"/>
        <v>144</v>
      </c>
      <c r="I14" s="23">
        <f t="shared" si="2"/>
        <v>36.599999999999994</v>
      </c>
    </row>
    <row r="15" spans="1:22" ht="15.75" customHeight="1">
      <c r="A15" s="25"/>
      <c r="B15" s="4" t="s">
        <v>28</v>
      </c>
      <c r="C15" s="4" t="s">
        <v>29</v>
      </c>
      <c r="D15" s="10">
        <v>3.8</v>
      </c>
      <c r="E15" s="19">
        <f t="shared" si="0"/>
        <v>0.31666666666666665</v>
      </c>
      <c r="F15" s="21">
        <v>6</v>
      </c>
      <c r="G15" s="22">
        <v>20</v>
      </c>
      <c r="H15" s="21">
        <f t="shared" si="1"/>
        <v>120</v>
      </c>
      <c r="I15" s="23">
        <f t="shared" si="2"/>
        <v>38</v>
      </c>
    </row>
    <row r="16" spans="1:22" ht="15.75" customHeight="1" thickBot="1">
      <c r="A16" s="26"/>
      <c r="B16" s="6" t="s">
        <v>30</v>
      </c>
      <c r="C16" s="6" t="s">
        <v>31</v>
      </c>
      <c r="D16" s="11">
        <v>4.5599999999999996</v>
      </c>
      <c r="E16" s="20">
        <f t="shared" si="0"/>
        <v>0.37999999999999995</v>
      </c>
      <c r="F16" s="21">
        <v>6</v>
      </c>
      <c r="G16" s="22">
        <v>16</v>
      </c>
      <c r="H16" s="21">
        <f t="shared" si="1"/>
        <v>96</v>
      </c>
      <c r="I16" s="23">
        <f t="shared" si="2"/>
        <v>36.479999999999997</v>
      </c>
    </row>
    <row r="17" spans="1:9" ht="15.75">
      <c r="A17" s="27">
        <v>4.8</v>
      </c>
      <c r="B17" s="28" t="s">
        <v>32</v>
      </c>
      <c r="C17" s="28" t="s">
        <v>33</v>
      </c>
      <c r="D17" s="29">
        <v>3.85</v>
      </c>
      <c r="E17" s="30">
        <f t="shared" si="0"/>
        <v>0.32083333333333336</v>
      </c>
      <c r="F17" s="21">
        <v>4</v>
      </c>
      <c r="G17" s="22">
        <v>24</v>
      </c>
      <c r="H17" s="21">
        <f t="shared" si="1"/>
        <v>96</v>
      </c>
      <c r="I17" s="23">
        <f t="shared" si="2"/>
        <v>30.800000000000004</v>
      </c>
    </row>
    <row r="18" spans="1:9" ht="15.75">
      <c r="A18" s="25"/>
      <c r="B18" s="4" t="s">
        <v>34</v>
      </c>
      <c r="C18" s="4" t="s">
        <v>35</v>
      </c>
      <c r="D18" s="10">
        <v>4.8</v>
      </c>
      <c r="E18" s="19">
        <f t="shared" si="0"/>
        <v>0.39999999999999997</v>
      </c>
      <c r="F18" s="21">
        <v>4</v>
      </c>
      <c r="G18" s="22">
        <v>21</v>
      </c>
      <c r="H18" s="21">
        <f t="shared" si="1"/>
        <v>84</v>
      </c>
      <c r="I18" s="23">
        <f t="shared" si="2"/>
        <v>33.599999999999994</v>
      </c>
    </row>
    <row r="19" spans="1:9" ht="16.5" thickBot="1">
      <c r="A19" s="26"/>
      <c r="B19" s="6" t="s">
        <v>36</v>
      </c>
      <c r="C19" s="6" t="s">
        <v>37</v>
      </c>
      <c r="D19" s="11">
        <v>5.7750000000000004</v>
      </c>
      <c r="E19" s="20">
        <f t="shared" si="0"/>
        <v>0.48125000000000001</v>
      </c>
      <c r="F19" s="21">
        <v>4</v>
      </c>
      <c r="G19" s="22">
        <v>21</v>
      </c>
      <c r="H19" s="21">
        <f t="shared" si="1"/>
        <v>84</v>
      </c>
      <c r="I19" s="23">
        <f t="shared" si="2"/>
        <v>40.425000000000004</v>
      </c>
    </row>
  </sheetData>
  <mergeCells count="6">
    <mergeCell ref="A14:A16"/>
    <mergeCell ref="A2:A3"/>
    <mergeCell ref="A4:A7"/>
    <mergeCell ref="A17:A19"/>
    <mergeCell ref="A8:A10"/>
    <mergeCell ref="A11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2026-05-31T08:45:41Z</cp:lastPrinted>
  <dcterms:created xsi:type="dcterms:W3CDTF">2024-07-11T09:46:07Z</dcterms:created>
  <dcterms:modified xsi:type="dcterms:W3CDTF">2026-06-14T06:55:37Z</dcterms:modified>
</cp:coreProperties>
</file>